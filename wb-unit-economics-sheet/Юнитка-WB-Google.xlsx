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ка" sheetId="1" state="visible" r:id="rId1"/>
    <sheet name="_Настройки" sheetId="2" state="visible" r:id="rId2"/>
    <sheet name="_Цены_закупки" sheetId="3" state="visible" r:id="rId3"/>
    <sheet name="_Комиссия_В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6" customWidth="1" min="3" max="3"/>
    <col width="32" customWidth="1" min="5" max="5"/>
    <col width="12" customWidth="1" min="12" max="12"/>
    <col width="12" customWidth="1" min="20" max="20"/>
  </cols>
  <sheetData>
    <row r="1" ht="42" customHeight="1">
      <c r="A1" s="1" t="inlineStr">
        <is>
          <t>№</t>
        </is>
      </c>
      <c r="B1" s="1" t="inlineStr">
        <is>
          <t>Артикул ВБ</t>
        </is>
      </c>
      <c r="C1" s="1" t="inlineStr">
        <is>
          <t>Артикул продавца</t>
        </is>
      </c>
      <c r="D1" s="1" t="inlineStr">
        <is>
          <t>Бренд</t>
        </is>
      </c>
      <c r="E1" s="1" t="inlineStr">
        <is>
          <t>Название</t>
        </is>
      </c>
      <c r="F1" s="1" t="inlineStr">
        <is>
          <t>Остаток FBO</t>
        </is>
      </c>
      <c r="G1" s="1" t="inlineStr">
        <is>
          <t>Остаток FBS</t>
        </is>
      </c>
      <c r="H1" s="1" t="inlineStr">
        <is>
          <t>Остаток поставщика</t>
        </is>
      </c>
      <c r="I1" s="1" t="inlineStr">
        <is>
          <t>Комментарий</t>
        </is>
      </c>
      <c r="J1" s="1" t="inlineStr">
        <is>
          <t>Заказы 7д</t>
        </is>
      </c>
      <c r="K1" s="1" t="inlineStr">
        <is>
          <t>Цена закупки</t>
        </is>
      </c>
      <c r="L1" s="1" t="inlineStr">
        <is>
          <t>Цена продажи</t>
        </is>
      </c>
      <c r="M1" s="1" t="inlineStr">
        <is>
          <t>Цена базовая</t>
        </is>
      </c>
      <c r="N1" s="1" t="inlineStr">
        <is>
          <t>% скидки</t>
        </is>
      </c>
      <c r="O1" s="1" t="inlineStr">
        <is>
          <t>Цена продажи кальк.</t>
        </is>
      </c>
      <c r="P1" s="1" t="inlineStr">
        <is>
          <t>Прибыль FBO кальк.</t>
        </is>
      </c>
      <c r="Q1" s="1" t="inlineStr">
        <is>
          <t>Рентаб. FBO кальк.%</t>
        </is>
      </c>
      <c r="R1" s="1" t="inlineStr">
        <is>
          <t>Прибыль FBS кальк.</t>
        </is>
      </c>
      <c r="S1" s="1" t="inlineStr">
        <is>
          <t>Рентаб. FBS кальк.%</t>
        </is>
      </c>
      <c r="T1" s="1" t="inlineStr">
        <is>
          <t>Наша цена на ВБ</t>
        </is>
      </c>
      <c r="U1" s="1" t="inlineStr">
        <is>
          <t>СПП</t>
        </is>
      </c>
      <c r="V1" s="1" t="inlineStr">
        <is>
          <t>% Выкупа</t>
        </is>
      </c>
      <c r="W1" s="1" t="inlineStr">
        <is>
          <t>Длина</t>
        </is>
      </c>
      <c r="X1" s="1" t="inlineStr">
        <is>
          <t>Ширина</t>
        </is>
      </c>
      <c r="Y1" s="1" t="inlineStr">
        <is>
          <t>Высота</t>
        </is>
      </c>
      <c r="Z1" s="1" t="inlineStr">
        <is>
          <t>Объём</t>
        </is>
      </c>
      <c r="AA1" s="1" t="inlineStr">
        <is>
          <t>Коэфф. склада</t>
        </is>
      </c>
      <c r="AB1" s="1" t="inlineStr">
        <is>
          <t>Доставка базовая</t>
        </is>
      </c>
      <c r="AC1" s="1" t="inlineStr">
        <is>
          <t>Доставка с возвратом</t>
        </is>
      </c>
      <c r="AD1" s="1" t="inlineStr">
        <is>
          <t>Налог УСН %</t>
        </is>
      </c>
      <c r="AE1" s="1" t="inlineStr">
        <is>
          <t>Налог ₽</t>
        </is>
      </c>
      <c r="AF1" s="1" t="inlineStr">
        <is>
          <t>Доп. комиссия %</t>
        </is>
      </c>
      <c r="AG1" s="1" t="inlineStr">
        <is>
          <t>Комиссия FBO кат.%</t>
        </is>
      </c>
      <c r="AH1" s="1" t="inlineStr">
        <is>
          <t>Комиссия FBO итог%</t>
        </is>
      </c>
      <c r="AI1" s="1" t="inlineStr">
        <is>
          <t>Комиссия FBO ₽</t>
        </is>
      </c>
      <c r="AJ1" s="1" t="inlineStr">
        <is>
          <t>Комиссия FBS кат.%</t>
        </is>
      </c>
      <c r="AK1" s="1" t="inlineStr">
        <is>
          <t>Комиссия FBS итог%</t>
        </is>
      </c>
      <c r="AL1" s="1" t="inlineStr">
        <is>
          <t>Комиссия FBS ₽</t>
        </is>
      </c>
      <c r="AM1" s="1" t="inlineStr">
        <is>
          <t>Упаковка</t>
        </is>
      </c>
      <c r="AN1" s="1" t="inlineStr">
        <is>
          <t>Хранение</t>
        </is>
      </c>
      <c r="AO1" s="1" t="inlineStr">
        <is>
          <t>Брак %</t>
        </is>
      </c>
      <c r="AP1" s="1" t="inlineStr">
        <is>
          <t>Брак ₽</t>
        </is>
      </c>
      <c r="AQ1" s="1" t="inlineStr">
        <is>
          <t>Прибыль FBO</t>
        </is>
      </c>
      <c r="AR1" s="1" t="inlineStr">
        <is>
          <t>Маржа FBO %</t>
        </is>
      </c>
      <c r="AS1" s="1" t="inlineStr">
        <is>
          <t>Рентаб. FBO %</t>
        </is>
      </c>
      <c r="AT1" s="1" t="inlineStr">
        <is>
          <t>Прибыль FBS</t>
        </is>
      </c>
      <c r="AU1" s="1" t="inlineStr">
        <is>
          <t>Маржа FBS %</t>
        </is>
      </c>
      <c r="AV1" s="1" t="inlineStr">
        <is>
          <t>Рентаб. FBS %</t>
        </is>
      </c>
    </row>
    <row r="2">
      <c r="A2">
        <f>ROW()-1</f>
        <v/>
      </c>
      <c r="K2" s="2">
        <f>IFERROR(INDEX('_Цены_закупки'!$B:$B;MATCH(C2;'_Цены_закупки'!$A:$A;0));"")</f>
        <v/>
      </c>
      <c r="L2" s="2" t="n"/>
      <c r="M2" s="2" t="n"/>
      <c r="N2" s="3">
        <f>IF(AND(M2&gt;0;L2&gt;0);1-L2/M2;"")</f>
        <v/>
      </c>
      <c r="O2" s="2">
        <f>IF(OR(Q2="";K2=0);"";(K2+IF(AM2&gt;0;AM2;'_Настройки'!$B$9)+AP2+AC2+Q2*K2)/(1-AH2-AD2))</f>
        <v/>
      </c>
      <c r="P2" s="2">
        <f>IF(O2="";"";O2-K2-O2*AH2-O2*AD2-IF(AM2&gt;0;AM2;'_Настройки'!$B$9)-AP2-AC2)</f>
        <v/>
      </c>
      <c r="Q2" s="3">
        <f>IF(AND(O2&gt;0;K2&gt;0);P2/K2;"")</f>
        <v/>
      </c>
      <c r="R2" s="2">
        <f>IF(O2="";"";O2-K2-O2*AK2-O2*AD2-IF(AM2&gt;0;AM2;'_Настройки'!$B$9)-AP2-AC2)</f>
        <v/>
      </c>
      <c r="S2" s="3">
        <f>IF(AND(O2&gt;0;K2&gt;0);R2/K2;"")</f>
        <v/>
      </c>
      <c r="T2" s="2" t="n"/>
      <c r="U2" s="3">
        <f>IF(AND(L2&gt;0;T2&gt;0);1-T2/L2;"")</f>
        <v/>
      </c>
      <c r="V2" s="3">
        <f>'_Настройки'!$B$4</f>
        <v/>
      </c>
      <c r="Z2" s="4">
        <f>IF(AND(W2&gt;0;X2&gt;0;Y2&gt;0);W2*X2*Y2/1000;"")</f>
        <v/>
      </c>
      <c r="AB2" s="2">
        <f>('_Настройки'!$B$6+MAX(0;Z2-1)*'_Настройки'!$B$7)*IF(AA2&gt;0;AA2;'_Настройки'!$B$10)</f>
        <v/>
      </c>
      <c r="AC2" s="2">
        <f>AB2*(1+'_Настройки'!$B$8)</f>
        <v/>
      </c>
      <c r="AD2" s="3">
        <f>'_Настройки'!$B$2</f>
        <v/>
      </c>
      <c r="AE2" s="2">
        <f>L2*AD2</f>
        <v/>
      </c>
      <c r="AF2" s="3">
        <f>'_Настройки'!$B$3</f>
        <v/>
      </c>
      <c r="AG2" s="3">
        <f>IFERROR(INDEX('_Комиссия_ВБ'!$B:$B;MATCH(C2;'_Комиссия_ВБ'!$A:$A;0));0,245)</f>
        <v/>
      </c>
      <c r="AH2" s="3">
        <f>AG2+AF2</f>
        <v/>
      </c>
      <c r="AI2" s="2">
        <f>L2*AH2</f>
        <v/>
      </c>
      <c r="AJ2" s="3">
        <f>IFERROR(INDEX('_Комиссия_ВБ'!$C:$C;MATCH(C2;'_Комиссия_ВБ'!$A:$A;0));0,28)</f>
        <v/>
      </c>
      <c r="AK2" s="3">
        <f>AJ2+AF2</f>
        <v/>
      </c>
      <c r="AL2" s="2">
        <f>L2*AK2</f>
        <v/>
      </c>
      <c r="AM2" s="2" t="n"/>
      <c r="AO2" s="3">
        <f>'_Настройки'!$B$5</f>
        <v/>
      </c>
      <c r="AP2" s="2">
        <f>IF(K2&gt;0;K2*AO2;0)</f>
        <v/>
      </c>
      <c r="AQ2" s="2">
        <f>L2-K2-AI2-AE2-IF(AM2&gt;0;AM2;'_Настройки'!$B$9)-AP2-AC2</f>
        <v/>
      </c>
      <c r="AR2" s="3">
        <f>IF(L2&gt;0;AQ2/L2;"")</f>
        <v/>
      </c>
      <c r="AS2" s="3">
        <f>IF(K2&gt;0;AQ2/K2;"")</f>
        <v/>
      </c>
      <c r="AT2" s="2">
        <f>L2-K2-AL2-AE2-IF(AM2&gt;0;AM2;'_Настройки'!$B$9)-AP2-AC2</f>
        <v/>
      </c>
      <c r="AU2" s="3">
        <f>IF(L2&gt;0;AT2/L2;"")</f>
        <v/>
      </c>
      <c r="AV2" s="3">
        <f>IF(K2&gt;0;AT2/K2;"")</f>
        <v/>
      </c>
    </row>
    <row r="3">
      <c r="A3">
        <f>ROW()-1</f>
        <v/>
      </c>
      <c r="K3" s="2">
        <f>IFERROR(INDEX('_Цены_закупки'!$B:$B;MATCH(C3;'_Цены_закупки'!$A:$A;0));"")</f>
        <v/>
      </c>
      <c r="L3" s="2" t="n"/>
      <c r="M3" s="2" t="n"/>
      <c r="N3" s="3">
        <f>IF(AND(M3&gt;0;L3&gt;0);1-L3/M3;"")</f>
        <v/>
      </c>
      <c r="O3" s="2">
        <f>IF(OR(Q3="";K3=0);"";(K3+IF(AM3&gt;0;AM3;'_Настройки'!$B$9)+AP3+AC3+Q3*K3)/(1-AH3-AD3))</f>
        <v/>
      </c>
      <c r="P3" s="2">
        <f>IF(O3="";"";O3-K3-O3*AH3-O3*AD3-IF(AM3&gt;0;AM3;'_Настройки'!$B$9)-AP3-AC3)</f>
        <v/>
      </c>
      <c r="Q3" s="3">
        <f>IF(AND(O3&gt;0;K3&gt;0);P3/K3;"")</f>
        <v/>
      </c>
      <c r="R3" s="2">
        <f>IF(O3="";"";O3-K3-O3*AK3-O3*AD3-IF(AM3&gt;0;AM3;'_Настройки'!$B$9)-AP3-AC3)</f>
        <v/>
      </c>
      <c r="S3" s="3">
        <f>IF(AND(O3&gt;0;K3&gt;0);R3/K3;"")</f>
        <v/>
      </c>
      <c r="T3" s="2" t="n"/>
      <c r="U3" s="3">
        <f>IF(AND(L3&gt;0;T3&gt;0);1-T3/L3;"")</f>
        <v/>
      </c>
      <c r="V3" s="3">
        <f>'_Настройки'!$B$4</f>
        <v/>
      </c>
      <c r="Z3" s="4">
        <f>IF(AND(W3&gt;0;X3&gt;0;Y3&gt;0);W3*X3*Y3/1000;"")</f>
        <v/>
      </c>
      <c r="AB3" s="2">
        <f>('_Настройки'!$B$6+MAX(0;Z3-1)*'_Настройки'!$B$7)*IF(AA3&gt;0;AA3;'_Настройки'!$B$10)</f>
        <v/>
      </c>
      <c r="AC3" s="2">
        <f>AB3*(1+'_Настройки'!$B$8)</f>
        <v/>
      </c>
      <c r="AD3" s="3">
        <f>'_Настройки'!$B$2</f>
        <v/>
      </c>
      <c r="AE3" s="2">
        <f>L3*AD3</f>
        <v/>
      </c>
      <c r="AF3" s="3">
        <f>'_Настройки'!$B$3</f>
        <v/>
      </c>
      <c r="AG3" s="3">
        <f>IFERROR(INDEX('_Комиссия_ВБ'!$B:$B;MATCH(C3;'_Комиссия_ВБ'!$A:$A;0));0,245)</f>
        <v/>
      </c>
      <c r="AH3" s="3">
        <f>AG3+AF3</f>
        <v/>
      </c>
      <c r="AI3" s="2">
        <f>L3*AH3</f>
        <v/>
      </c>
      <c r="AJ3" s="3">
        <f>IFERROR(INDEX('_Комиссия_ВБ'!$C:$C;MATCH(C3;'_Комиссия_ВБ'!$A:$A;0));0,28)</f>
        <v/>
      </c>
      <c r="AK3" s="3">
        <f>AJ3+AF3</f>
        <v/>
      </c>
      <c r="AL3" s="2">
        <f>L3*AK3</f>
        <v/>
      </c>
      <c r="AM3" s="2" t="n"/>
      <c r="AO3" s="3">
        <f>'_Настройки'!$B$5</f>
        <v/>
      </c>
      <c r="AP3" s="2">
        <f>IF(K3&gt;0;K3*AO3;0)</f>
        <v/>
      </c>
      <c r="AQ3" s="2">
        <f>L3-K3-AI3-AE3-IF(AM3&gt;0;AM3;'_Настройки'!$B$9)-AP3-AC3</f>
        <v/>
      </c>
      <c r="AR3" s="3">
        <f>IF(L3&gt;0;AQ3/L3;"")</f>
        <v/>
      </c>
      <c r="AS3" s="3">
        <f>IF(K3&gt;0;AQ3/K3;"")</f>
        <v/>
      </c>
      <c r="AT3" s="2">
        <f>L3-K3-AL3-AE3-IF(AM3&gt;0;AM3;'_Настройки'!$B$9)-AP3-AC3</f>
        <v/>
      </c>
      <c r="AU3" s="3">
        <f>IF(L3&gt;0;AT3/L3;"")</f>
        <v/>
      </c>
      <c r="AV3" s="3">
        <f>IF(K3&gt;0;AT3/K3;"")</f>
        <v/>
      </c>
    </row>
    <row r="4">
      <c r="A4">
        <f>ROW()-1</f>
        <v/>
      </c>
      <c r="K4" s="2">
        <f>IFERROR(INDEX('_Цены_закупки'!$B:$B;MATCH(C4;'_Цены_закупки'!$A:$A;0));"")</f>
        <v/>
      </c>
      <c r="L4" s="2" t="n"/>
      <c r="M4" s="2" t="n"/>
      <c r="N4" s="3">
        <f>IF(AND(M4&gt;0;L4&gt;0);1-L4/M4;"")</f>
        <v/>
      </c>
      <c r="O4" s="2">
        <f>IF(OR(Q4="";K4=0);"";(K4+IF(AM4&gt;0;AM4;'_Настройки'!$B$9)+AP4+AC4+Q4*K4)/(1-AH4-AD4))</f>
        <v/>
      </c>
      <c r="P4" s="2">
        <f>IF(O4="";"";O4-K4-O4*AH4-O4*AD4-IF(AM4&gt;0;AM4;'_Настройки'!$B$9)-AP4-AC4)</f>
        <v/>
      </c>
      <c r="Q4" s="3">
        <f>IF(AND(O4&gt;0;K4&gt;0);P4/K4;"")</f>
        <v/>
      </c>
      <c r="R4" s="2">
        <f>IF(O4="";"";O4-K4-O4*AK4-O4*AD4-IF(AM4&gt;0;AM4;'_Настройки'!$B$9)-AP4-AC4)</f>
        <v/>
      </c>
      <c r="S4" s="3">
        <f>IF(AND(O4&gt;0;K4&gt;0);R4/K4;"")</f>
        <v/>
      </c>
      <c r="T4" s="2" t="n"/>
      <c r="U4" s="3">
        <f>IF(AND(L4&gt;0;T4&gt;0);1-T4/L4;"")</f>
        <v/>
      </c>
      <c r="V4" s="3">
        <f>'_Настройки'!$B$4</f>
        <v/>
      </c>
      <c r="Z4" s="4">
        <f>IF(AND(W4&gt;0;X4&gt;0;Y4&gt;0);W4*X4*Y4/1000;"")</f>
        <v/>
      </c>
      <c r="AB4" s="2">
        <f>('_Настройки'!$B$6+MAX(0;Z4-1)*'_Настройки'!$B$7)*IF(AA4&gt;0;AA4;'_Настройки'!$B$10)</f>
        <v/>
      </c>
      <c r="AC4" s="2">
        <f>AB4*(1+'_Настройки'!$B$8)</f>
        <v/>
      </c>
      <c r="AD4" s="3">
        <f>'_Настройки'!$B$2</f>
        <v/>
      </c>
      <c r="AE4" s="2">
        <f>L4*AD4</f>
        <v/>
      </c>
      <c r="AF4" s="3">
        <f>'_Настройки'!$B$3</f>
        <v/>
      </c>
      <c r="AG4" s="3">
        <f>IFERROR(INDEX('_Комиссия_ВБ'!$B:$B;MATCH(C4;'_Комиссия_ВБ'!$A:$A;0));0,245)</f>
        <v/>
      </c>
      <c r="AH4" s="3">
        <f>AG4+AF4</f>
        <v/>
      </c>
      <c r="AI4" s="2">
        <f>L4*AH4</f>
        <v/>
      </c>
      <c r="AJ4" s="3">
        <f>IFERROR(INDEX('_Комиссия_ВБ'!$C:$C;MATCH(C4;'_Комиссия_ВБ'!$A:$A;0));0,28)</f>
        <v/>
      </c>
      <c r="AK4" s="3">
        <f>AJ4+AF4</f>
        <v/>
      </c>
      <c r="AL4" s="2">
        <f>L4*AK4</f>
        <v/>
      </c>
      <c r="AM4" s="2" t="n"/>
      <c r="AO4" s="3">
        <f>'_Настройки'!$B$5</f>
        <v/>
      </c>
      <c r="AP4" s="2">
        <f>IF(K4&gt;0;K4*AO4;0)</f>
        <v/>
      </c>
      <c r="AQ4" s="2">
        <f>L4-K4-AI4-AE4-IF(AM4&gt;0;AM4;'_Настройки'!$B$9)-AP4-AC4</f>
        <v/>
      </c>
      <c r="AR4" s="3">
        <f>IF(L4&gt;0;AQ4/L4;"")</f>
        <v/>
      </c>
      <c r="AS4" s="3">
        <f>IF(K4&gt;0;AQ4/K4;"")</f>
        <v/>
      </c>
      <c r="AT4" s="2">
        <f>L4-K4-AL4-AE4-IF(AM4&gt;0;AM4;'_Настройки'!$B$9)-AP4-AC4</f>
        <v/>
      </c>
      <c r="AU4" s="3">
        <f>IF(L4&gt;0;AT4/L4;"")</f>
        <v/>
      </c>
      <c r="AV4" s="3">
        <f>IF(K4&gt;0;AT4/K4;"")</f>
        <v/>
      </c>
    </row>
    <row r="5">
      <c r="A5">
        <f>ROW()-1</f>
        <v/>
      </c>
      <c r="K5" s="2">
        <f>IFERROR(INDEX('_Цены_закупки'!$B:$B;MATCH(C5;'_Цены_закупки'!$A:$A;0));"")</f>
        <v/>
      </c>
      <c r="L5" s="2" t="n"/>
      <c r="M5" s="2" t="n"/>
      <c r="N5" s="3">
        <f>IF(AND(M5&gt;0;L5&gt;0);1-L5/M5;"")</f>
        <v/>
      </c>
      <c r="O5" s="2">
        <f>IF(OR(Q5="";K5=0);"";(K5+IF(AM5&gt;0;AM5;'_Настройки'!$B$9)+AP5+AC5+Q5*K5)/(1-AH5-AD5))</f>
        <v/>
      </c>
      <c r="P5" s="2">
        <f>IF(O5="";"";O5-K5-O5*AH5-O5*AD5-IF(AM5&gt;0;AM5;'_Настройки'!$B$9)-AP5-AC5)</f>
        <v/>
      </c>
      <c r="Q5" s="3">
        <f>IF(AND(O5&gt;0;K5&gt;0);P5/K5;"")</f>
        <v/>
      </c>
      <c r="R5" s="2">
        <f>IF(O5="";"";O5-K5-O5*AK5-O5*AD5-IF(AM5&gt;0;AM5;'_Настройки'!$B$9)-AP5-AC5)</f>
        <v/>
      </c>
      <c r="S5" s="3">
        <f>IF(AND(O5&gt;0;K5&gt;0);R5/K5;"")</f>
        <v/>
      </c>
      <c r="T5" s="2" t="n"/>
      <c r="U5" s="3">
        <f>IF(AND(L5&gt;0;T5&gt;0);1-T5/L5;"")</f>
        <v/>
      </c>
      <c r="V5" s="3">
        <f>'_Настройки'!$B$4</f>
        <v/>
      </c>
      <c r="Z5" s="4">
        <f>IF(AND(W5&gt;0;X5&gt;0;Y5&gt;0);W5*X5*Y5/1000;"")</f>
        <v/>
      </c>
      <c r="AB5" s="2">
        <f>('_Настройки'!$B$6+MAX(0;Z5-1)*'_Настройки'!$B$7)*IF(AA5&gt;0;AA5;'_Настройки'!$B$10)</f>
        <v/>
      </c>
      <c r="AC5" s="2">
        <f>AB5*(1+'_Настройки'!$B$8)</f>
        <v/>
      </c>
      <c r="AD5" s="3">
        <f>'_Настройки'!$B$2</f>
        <v/>
      </c>
      <c r="AE5" s="2">
        <f>L5*AD5</f>
        <v/>
      </c>
      <c r="AF5" s="3">
        <f>'_Настройки'!$B$3</f>
        <v/>
      </c>
      <c r="AG5" s="3">
        <f>IFERROR(INDEX('_Комиссия_ВБ'!$B:$B;MATCH(C5;'_Комиссия_ВБ'!$A:$A;0));0,245)</f>
        <v/>
      </c>
      <c r="AH5" s="3">
        <f>AG5+AF5</f>
        <v/>
      </c>
      <c r="AI5" s="2">
        <f>L5*AH5</f>
        <v/>
      </c>
      <c r="AJ5" s="3">
        <f>IFERROR(INDEX('_Комиссия_ВБ'!$C:$C;MATCH(C5;'_Комиссия_ВБ'!$A:$A;0));0,28)</f>
        <v/>
      </c>
      <c r="AK5" s="3">
        <f>AJ5+AF5</f>
        <v/>
      </c>
      <c r="AL5" s="2">
        <f>L5*AK5</f>
        <v/>
      </c>
      <c r="AM5" s="2" t="n"/>
      <c r="AO5" s="3">
        <f>'_Настройки'!$B$5</f>
        <v/>
      </c>
      <c r="AP5" s="2">
        <f>IF(K5&gt;0;K5*AO5;0)</f>
        <v/>
      </c>
      <c r="AQ5" s="2">
        <f>L5-K5-AI5-AE5-IF(AM5&gt;0;AM5;'_Настройки'!$B$9)-AP5-AC5</f>
        <v/>
      </c>
      <c r="AR5" s="3">
        <f>IF(L5&gt;0;AQ5/L5;"")</f>
        <v/>
      </c>
      <c r="AS5" s="3">
        <f>IF(K5&gt;0;AQ5/K5;"")</f>
        <v/>
      </c>
      <c r="AT5" s="2">
        <f>L5-K5-AL5-AE5-IF(AM5&gt;0;AM5;'_Настройки'!$B$9)-AP5-AC5</f>
        <v/>
      </c>
      <c r="AU5" s="3">
        <f>IF(L5&gt;0;AT5/L5;"")</f>
        <v/>
      </c>
      <c r="AV5" s="3">
        <f>IF(K5&gt;0;AT5/K5;"")</f>
        <v/>
      </c>
    </row>
    <row r="6">
      <c r="A6">
        <f>ROW()-1</f>
        <v/>
      </c>
      <c r="K6" s="2">
        <f>IFERROR(INDEX('_Цены_закупки'!$B:$B;MATCH(C6;'_Цены_закупки'!$A:$A;0));"")</f>
        <v/>
      </c>
      <c r="L6" s="2" t="n"/>
      <c r="M6" s="2" t="n"/>
      <c r="N6" s="3">
        <f>IF(AND(M6&gt;0;L6&gt;0);1-L6/M6;"")</f>
        <v/>
      </c>
      <c r="O6" s="2">
        <f>IF(OR(Q6="";K6=0);"";(K6+IF(AM6&gt;0;AM6;'_Настройки'!$B$9)+AP6+AC6+Q6*K6)/(1-AH6-AD6))</f>
        <v/>
      </c>
      <c r="P6" s="2">
        <f>IF(O6="";"";O6-K6-O6*AH6-O6*AD6-IF(AM6&gt;0;AM6;'_Настройки'!$B$9)-AP6-AC6)</f>
        <v/>
      </c>
      <c r="Q6" s="3">
        <f>IF(AND(O6&gt;0;K6&gt;0);P6/K6;"")</f>
        <v/>
      </c>
      <c r="R6" s="2">
        <f>IF(O6="";"";O6-K6-O6*AK6-O6*AD6-IF(AM6&gt;0;AM6;'_Настройки'!$B$9)-AP6-AC6)</f>
        <v/>
      </c>
      <c r="S6" s="3">
        <f>IF(AND(O6&gt;0;K6&gt;0);R6/K6;"")</f>
        <v/>
      </c>
      <c r="T6" s="2" t="n"/>
      <c r="U6" s="3">
        <f>IF(AND(L6&gt;0;T6&gt;0);1-T6/L6;"")</f>
        <v/>
      </c>
      <c r="V6" s="3">
        <f>'_Настройки'!$B$4</f>
        <v/>
      </c>
      <c r="Z6" s="4">
        <f>IF(AND(W6&gt;0;X6&gt;0;Y6&gt;0);W6*X6*Y6/1000;"")</f>
        <v/>
      </c>
      <c r="AB6" s="2">
        <f>('_Настройки'!$B$6+MAX(0;Z6-1)*'_Настройки'!$B$7)*IF(AA6&gt;0;AA6;'_Настройки'!$B$10)</f>
        <v/>
      </c>
      <c r="AC6" s="2">
        <f>AB6*(1+'_Настройки'!$B$8)</f>
        <v/>
      </c>
      <c r="AD6" s="3">
        <f>'_Настройки'!$B$2</f>
        <v/>
      </c>
      <c r="AE6" s="2">
        <f>L6*AD6</f>
        <v/>
      </c>
      <c r="AF6" s="3">
        <f>'_Настройки'!$B$3</f>
        <v/>
      </c>
      <c r="AG6" s="3">
        <f>IFERROR(INDEX('_Комиссия_ВБ'!$B:$B;MATCH(C6;'_Комиссия_ВБ'!$A:$A;0));0,245)</f>
        <v/>
      </c>
      <c r="AH6" s="3">
        <f>AG6+AF6</f>
        <v/>
      </c>
      <c r="AI6" s="2">
        <f>L6*AH6</f>
        <v/>
      </c>
      <c r="AJ6" s="3">
        <f>IFERROR(INDEX('_Комиссия_ВБ'!$C:$C;MATCH(C6;'_Комиссия_ВБ'!$A:$A;0));0,28)</f>
        <v/>
      </c>
      <c r="AK6" s="3">
        <f>AJ6+AF6</f>
        <v/>
      </c>
      <c r="AL6" s="2">
        <f>L6*AK6</f>
        <v/>
      </c>
      <c r="AM6" s="2" t="n"/>
      <c r="AO6" s="3">
        <f>'_Настройки'!$B$5</f>
        <v/>
      </c>
      <c r="AP6" s="2">
        <f>IF(K6&gt;0;K6*AO6;0)</f>
        <v/>
      </c>
      <c r="AQ6" s="2">
        <f>L6-K6-AI6-AE6-IF(AM6&gt;0;AM6;'_Настройки'!$B$9)-AP6-AC6</f>
        <v/>
      </c>
      <c r="AR6" s="3">
        <f>IF(L6&gt;0;AQ6/L6;"")</f>
        <v/>
      </c>
      <c r="AS6" s="3">
        <f>IF(K6&gt;0;AQ6/K6;"")</f>
        <v/>
      </c>
      <c r="AT6" s="2">
        <f>L6-K6-AL6-AE6-IF(AM6&gt;0;AM6;'_Настройки'!$B$9)-AP6-AC6</f>
        <v/>
      </c>
      <c r="AU6" s="3">
        <f>IF(L6&gt;0;AT6/L6;"")</f>
        <v/>
      </c>
      <c r="AV6" s="3">
        <f>IF(K6&gt;0;AT6/K6;"")</f>
        <v/>
      </c>
    </row>
    <row r="7">
      <c r="A7">
        <f>ROW()-1</f>
        <v/>
      </c>
      <c r="K7" s="2">
        <f>IFERROR(INDEX('_Цены_закупки'!$B:$B;MATCH(C7;'_Цены_закупки'!$A:$A;0));"")</f>
        <v/>
      </c>
      <c r="L7" s="2" t="n"/>
      <c r="M7" s="2" t="n"/>
      <c r="N7" s="3">
        <f>IF(AND(M7&gt;0;L7&gt;0);1-L7/M7;"")</f>
        <v/>
      </c>
      <c r="O7" s="2">
        <f>IF(OR(Q7="";K7=0);"";(K7+IF(AM7&gt;0;AM7;'_Настройки'!$B$9)+AP7+AC7+Q7*K7)/(1-AH7-AD7))</f>
        <v/>
      </c>
      <c r="P7" s="2">
        <f>IF(O7="";"";O7-K7-O7*AH7-O7*AD7-IF(AM7&gt;0;AM7;'_Настройки'!$B$9)-AP7-AC7)</f>
        <v/>
      </c>
      <c r="Q7" s="3">
        <f>IF(AND(O7&gt;0;K7&gt;0);P7/K7;"")</f>
        <v/>
      </c>
      <c r="R7" s="2">
        <f>IF(O7="";"";O7-K7-O7*AK7-O7*AD7-IF(AM7&gt;0;AM7;'_Настройки'!$B$9)-AP7-AC7)</f>
        <v/>
      </c>
      <c r="S7" s="3">
        <f>IF(AND(O7&gt;0;K7&gt;0);R7/K7;"")</f>
        <v/>
      </c>
      <c r="T7" s="2" t="n"/>
      <c r="U7" s="3">
        <f>IF(AND(L7&gt;0;T7&gt;0);1-T7/L7;"")</f>
        <v/>
      </c>
      <c r="V7" s="3">
        <f>'_Настройки'!$B$4</f>
        <v/>
      </c>
      <c r="Z7" s="4">
        <f>IF(AND(W7&gt;0;X7&gt;0;Y7&gt;0);W7*X7*Y7/1000;"")</f>
        <v/>
      </c>
      <c r="AB7" s="2">
        <f>('_Настройки'!$B$6+MAX(0;Z7-1)*'_Настройки'!$B$7)*IF(AA7&gt;0;AA7;'_Настройки'!$B$10)</f>
        <v/>
      </c>
      <c r="AC7" s="2">
        <f>AB7*(1+'_Настройки'!$B$8)</f>
        <v/>
      </c>
      <c r="AD7" s="3">
        <f>'_Настройки'!$B$2</f>
        <v/>
      </c>
      <c r="AE7" s="2">
        <f>L7*AD7</f>
        <v/>
      </c>
      <c r="AF7" s="3">
        <f>'_Настройки'!$B$3</f>
        <v/>
      </c>
      <c r="AG7" s="3">
        <f>IFERROR(INDEX('_Комиссия_ВБ'!$B:$B;MATCH(C7;'_Комиссия_ВБ'!$A:$A;0));0,245)</f>
        <v/>
      </c>
      <c r="AH7" s="3">
        <f>AG7+AF7</f>
        <v/>
      </c>
      <c r="AI7" s="2">
        <f>L7*AH7</f>
        <v/>
      </c>
      <c r="AJ7" s="3">
        <f>IFERROR(INDEX('_Комиссия_ВБ'!$C:$C;MATCH(C7;'_Комиссия_ВБ'!$A:$A;0));0,28)</f>
        <v/>
      </c>
      <c r="AK7" s="3">
        <f>AJ7+AF7</f>
        <v/>
      </c>
      <c r="AL7" s="2">
        <f>L7*AK7</f>
        <v/>
      </c>
      <c r="AM7" s="2" t="n"/>
      <c r="AO7" s="3">
        <f>'_Настройки'!$B$5</f>
        <v/>
      </c>
      <c r="AP7" s="2">
        <f>IF(K7&gt;0;K7*AO7;0)</f>
        <v/>
      </c>
      <c r="AQ7" s="2">
        <f>L7-K7-AI7-AE7-IF(AM7&gt;0;AM7;'_Настройки'!$B$9)-AP7-AC7</f>
        <v/>
      </c>
      <c r="AR7" s="3">
        <f>IF(L7&gt;0;AQ7/L7;"")</f>
        <v/>
      </c>
      <c r="AS7" s="3">
        <f>IF(K7&gt;0;AQ7/K7;"")</f>
        <v/>
      </c>
      <c r="AT7" s="2">
        <f>L7-K7-AL7-AE7-IF(AM7&gt;0;AM7;'_Настройки'!$B$9)-AP7-AC7</f>
        <v/>
      </c>
      <c r="AU7" s="3">
        <f>IF(L7&gt;0;AT7/L7;"")</f>
        <v/>
      </c>
      <c r="AV7" s="3">
        <f>IF(K7&gt;0;AT7/K7;"")</f>
        <v/>
      </c>
    </row>
    <row r="8">
      <c r="A8">
        <f>ROW()-1</f>
        <v/>
      </c>
      <c r="K8" s="2">
        <f>IFERROR(INDEX('_Цены_закупки'!$B:$B;MATCH(C8;'_Цены_закупки'!$A:$A;0));"")</f>
        <v/>
      </c>
      <c r="L8" s="2" t="n"/>
      <c r="M8" s="2" t="n"/>
      <c r="N8" s="3">
        <f>IF(AND(M8&gt;0;L8&gt;0);1-L8/M8;"")</f>
        <v/>
      </c>
      <c r="O8" s="2">
        <f>IF(OR(Q8="";K8=0);"";(K8+IF(AM8&gt;0;AM8;'_Настройки'!$B$9)+AP8+AC8+Q8*K8)/(1-AH8-AD8))</f>
        <v/>
      </c>
      <c r="P8" s="2">
        <f>IF(O8="";"";O8-K8-O8*AH8-O8*AD8-IF(AM8&gt;0;AM8;'_Настройки'!$B$9)-AP8-AC8)</f>
        <v/>
      </c>
      <c r="Q8" s="3">
        <f>IF(AND(O8&gt;0;K8&gt;0);P8/K8;"")</f>
        <v/>
      </c>
      <c r="R8" s="2">
        <f>IF(O8="";"";O8-K8-O8*AK8-O8*AD8-IF(AM8&gt;0;AM8;'_Настройки'!$B$9)-AP8-AC8)</f>
        <v/>
      </c>
      <c r="S8" s="3">
        <f>IF(AND(O8&gt;0;K8&gt;0);R8/K8;"")</f>
        <v/>
      </c>
      <c r="T8" s="2" t="n"/>
      <c r="U8" s="3">
        <f>IF(AND(L8&gt;0;T8&gt;0);1-T8/L8;"")</f>
        <v/>
      </c>
      <c r="V8" s="3">
        <f>'_Настройки'!$B$4</f>
        <v/>
      </c>
      <c r="Z8" s="4">
        <f>IF(AND(W8&gt;0;X8&gt;0;Y8&gt;0);W8*X8*Y8/1000;"")</f>
        <v/>
      </c>
      <c r="AB8" s="2">
        <f>('_Настройки'!$B$6+MAX(0;Z8-1)*'_Настройки'!$B$7)*IF(AA8&gt;0;AA8;'_Настройки'!$B$10)</f>
        <v/>
      </c>
      <c r="AC8" s="2">
        <f>AB8*(1+'_Настройки'!$B$8)</f>
        <v/>
      </c>
      <c r="AD8" s="3">
        <f>'_Настройки'!$B$2</f>
        <v/>
      </c>
      <c r="AE8" s="2">
        <f>L8*AD8</f>
        <v/>
      </c>
      <c r="AF8" s="3">
        <f>'_Настройки'!$B$3</f>
        <v/>
      </c>
      <c r="AG8" s="3">
        <f>IFERROR(INDEX('_Комиссия_ВБ'!$B:$B;MATCH(C8;'_Комиссия_ВБ'!$A:$A;0));0,245)</f>
        <v/>
      </c>
      <c r="AH8" s="3">
        <f>AG8+AF8</f>
        <v/>
      </c>
      <c r="AI8" s="2">
        <f>L8*AH8</f>
        <v/>
      </c>
      <c r="AJ8" s="3">
        <f>IFERROR(INDEX('_Комиссия_ВБ'!$C:$C;MATCH(C8;'_Комиссия_ВБ'!$A:$A;0));0,28)</f>
        <v/>
      </c>
      <c r="AK8" s="3">
        <f>AJ8+AF8</f>
        <v/>
      </c>
      <c r="AL8" s="2">
        <f>L8*AK8</f>
        <v/>
      </c>
      <c r="AM8" s="2" t="n"/>
      <c r="AO8" s="3">
        <f>'_Настройки'!$B$5</f>
        <v/>
      </c>
      <c r="AP8" s="2">
        <f>IF(K8&gt;0;K8*AO8;0)</f>
        <v/>
      </c>
      <c r="AQ8" s="2">
        <f>L8-K8-AI8-AE8-IF(AM8&gt;0;AM8;'_Настройки'!$B$9)-AP8-AC8</f>
        <v/>
      </c>
      <c r="AR8" s="3">
        <f>IF(L8&gt;0;AQ8/L8;"")</f>
        <v/>
      </c>
      <c r="AS8" s="3">
        <f>IF(K8&gt;0;AQ8/K8;"")</f>
        <v/>
      </c>
      <c r="AT8" s="2">
        <f>L8-K8-AL8-AE8-IF(AM8&gt;0;AM8;'_Настройки'!$B$9)-AP8-AC8</f>
        <v/>
      </c>
      <c r="AU8" s="3">
        <f>IF(L8&gt;0;AT8/L8;"")</f>
        <v/>
      </c>
      <c r="AV8" s="3">
        <f>IF(K8&gt;0;AT8/K8;"")</f>
        <v/>
      </c>
    </row>
    <row r="9">
      <c r="A9">
        <f>ROW()-1</f>
        <v/>
      </c>
      <c r="K9" s="2">
        <f>IFERROR(INDEX('_Цены_закупки'!$B:$B;MATCH(C9;'_Цены_закупки'!$A:$A;0));"")</f>
        <v/>
      </c>
      <c r="L9" s="2" t="n"/>
      <c r="M9" s="2" t="n"/>
      <c r="N9" s="3">
        <f>IF(AND(M9&gt;0;L9&gt;0);1-L9/M9;"")</f>
        <v/>
      </c>
      <c r="O9" s="2">
        <f>IF(OR(Q9="";K9=0);"";(K9+IF(AM9&gt;0;AM9;'_Настройки'!$B$9)+AP9+AC9+Q9*K9)/(1-AH9-AD9))</f>
        <v/>
      </c>
      <c r="P9" s="2">
        <f>IF(O9="";"";O9-K9-O9*AH9-O9*AD9-IF(AM9&gt;0;AM9;'_Настройки'!$B$9)-AP9-AC9)</f>
        <v/>
      </c>
      <c r="Q9" s="3">
        <f>IF(AND(O9&gt;0;K9&gt;0);P9/K9;"")</f>
        <v/>
      </c>
      <c r="R9" s="2">
        <f>IF(O9="";"";O9-K9-O9*AK9-O9*AD9-IF(AM9&gt;0;AM9;'_Настройки'!$B$9)-AP9-AC9)</f>
        <v/>
      </c>
      <c r="S9" s="3">
        <f>IF(AND(O9&gt;0;K9&gt;0);R9/K9;"")</f>
        <v/>
      </c>
      <c r="T9" s="2" t="n"/>
      <c r="U9" s="3">
        <f>IF(AND(L9&gt;0;T9&gt;0);1-T9/L9;"")</f>
        <v/>
      </c>
      <c r="V9" s="3">
        <f>'_Настройки'!$B$4</f>
        <v/>
      </c>
      <c r="Z9" s="4">
        <f>IF(AND(W9&gt;0;X9&gt;0;Y9&gt;0);W9*X9*Y9/1000;"")</f>
        <v/>
      </c>
      <c r="AB9" s="2">
        <f>('_Настройки'!$B$6+MAX(0;Z9-1)*'_Настройки'!$B$7)*IF(AA9&gt;0;AA9;'_Настройки'!$B$10)</f>
        <v/>
      </c>
      <c r="AC9" s="2">
        <f>AB9*(1+'_Настройки'!$B$8)</f>
        <v/>
      </c>
      <c r="AD9" s="3">
        <f>'_Настройки'!$B$2</f>
        <v/>
      </c>
      <c r="AE9" s="2">
        <f>L9*AD9</f>
        <v/>
      </c>
      <c r="AF9" s="3">
        <f>'_Настройки'!$B$3</f>
        <v/>
      </c>
      <c r="AG9" s="3">
        <f>IFERROR(INDEX('_Комиссия_ВБ'!$B:$B;MATCH(C9;'_Комиссия_ВБ'!$A:$A;0));0,245)</f>
        <v/>
      </c>
      <c r="AH9" s="3">
        <f>AG9+AF9</f>
        <v/>
      </c>
      <c r="AI9" s="2">
        <f>L9*AH9</f>
        <v/>
      </c>
      <c r="AJ9" s="3">
        <f>IFERROR(INDEX('_Комиссия_ВБ'!$C:$C;MATCH(C9;'_Комиссия_ВБ'!$A:$A;0));0,28)</f>
        <v/>
      </c>
      <c r="AK9" s="3">
        <f>AJ9+AF9</f>
        <v/>
      </c>
      <c r="AL9" s="2">
        <f>L9*AK9</f>
        <v/>
      </c>
      <c r="AM9" s="2" t="n"/>
      <c r="AO9" s="3">
        <f>'_Настройки'!$B$5</f>
        <v/>
      </c>
      <c r="AP9" s="2">
        <f>IF(K9&gt;0;K9*AO9;0)</f>
        <v/>
      </c>
      <c r="AQ9" s="2">
        <f>L9-K9-AI9-AE9-IF(AM9&gt;0;AM9;'_Настройки'!$B$9)-AP9-AC9</f>
        <v/>
      </c>
      <c r="AR9" s="3">
        <f>IF(L9&gt;0;AQ9/L9;"")</f>
        <v/>
      </c>
      <c r="AS9" s="3">
        <f>IF(K9&gt;0;AQ9/K9;"")</f>
        <v/>
      </c>
      <c r="AT9" s="2">
        <f>L9-K9-AL9-AE9-IF(AM9&gt;0;AM9;'_Настройки'!$B$9)-AP9-AC9</f>
        <v/>
      </c>
      <c r="AU9" s="3">
        <f>IF(L9&gt;0;AT9/L9;"")</f>
        <v/>
      </c>
      <c r="AV9" s="3">
        <f>IF(K9&gt;0;AT9/K9;"")</f>
        <v/>
      </c>
    </row>
    <row r="10">
      <c r="A10">
        <f>ROW()-1</f>
        <v/>
      </c>
      <c r="K10" s="2">
        <f>IFERROR(INDEX('_Цены_закупки'!$B:$B;MATCH(C10;'_Цены_закупки'!$A:$A;0));"")</f>
        <v/>
      </c>
      <c r="L10" s="2" t="n"/>
      <c r="M10" s="2" t="n"/>
      <c r="N10" s="3">
        <f>IF(AND(M10&gt;0;L10&gt;0);1-L10/M10;"")</f>
        <v/>
      </c>
      <c r="O10" s="2">
        <f>IF(OR(Q10="";K10=0);"";(K10+IF(AM10&gt;0;AM10;'_Настройки'!$B$9)+AP10+AC10+Q10*K10)/(1-AH10-AD10))</f>
        <v/>
      </c>
      <c r="P10" s="2">
        <f>IF(O10="";"";O10-K10-O10*AH10-O10*AD10-IF(AM10&gt;0;AM10;'_Настройки'!$B$9)-AP10-AC10)</f>
        <v/>
      </c>
      <c r="Q10" s="3">
        <f>IF(AND(O10&gt;0;K10&gt;0);P10/K10;"")</f>
        <v/>
      </c>
      <c r="R10" s="2">
        <f>IF(O10="";"";O10-K10-O10*AK10-O10*AD10-IF(AM10&gt;0;AM10;'_Настройки'!$B$9)-AP10-AC10)</f>
        <v/>
      </c>
      <c r="S10" s="3">
        <f>IF(AND(O10&gt;0;K10&gt;0);R10/K10;"")</f>
        <v/>
      </c>
      <c r="T10" s="2" t="n"/>
      <c r="U10" s="3">
        <f>IF(AND(L10&gt;0;T10&gt;0);1-T10/L10;"")</f>
        <v/>
      </c>
      <c r="V10" s="3">
        <f>'_Настройки'!$B$4</f>
        <v/>
      </c>
      <c r="Z10" s="4">
        <f>IF(AND(W10&gt;0;X10&gt;0;Y10&gt;0);W10*X10*Y10/1000;"")</f>
        <v/>
      </c>
      <c r="AB10" s="2">
        <f>('_Настройки'!$B$6+MAX(0;Z10-1)*'_Настройки'!$B$7)*IF(AA10&gt;0;AA10;'_Настройки'!$B$10)</f>
        <v/>
      </c>
      <c r="AC10" s="2">
        <f>AB10*(1+'_Настройки'!$B$8)</f>
        <v/>
      </c>
      <c r="AD10" s="3">
        <f>'_Настройки'!$B$2</f>
        <v/>
      </c>
      <c r="AE10" s="2">
        <f>L10*AD10</f>
        <v/>
      </c>
      <c r="AF10" s="3">
        <f>'_Настройки'!$B$3</f>
        <v/>
      </c>
      <c r="AG10" s="3">
        <f>IFERROR(INDEX('_Комиссия_ВБ'!$B:$B;MATCH(C10;'_Комиссия_ВБ'!$A:$A;0));0,245)</f>
        <v/>
      </c>
      <c r="AH10" s="3">
        <f>AG10+AF10</f>
        <v/>
      </c>
      <c r="AI10" s="2">
        <f>L10*AH10</f>
        <v/>
      </c>
      <c r="AJ10" s="3">
        <f>IFERROR(INDEX('_Комиссия_ВБ'!$C:$C;MATCH(C10;'_Комиссия_ВБ'!$A:$A;0));0,28)</f>
        <v/>
      </c>
      <c r="AK10" s="3">
        <f>AJ10+AF10</f>
        <v/>
      </c>
      <c r="AL10" s="2">
        <f>L10*AK10</f>
        <v/>
      </c>
      <c r="AM10" s="2" t="n"/>
      <c r="AO10" s="3">
        <f>'_Настройки'!$B$5</f>
        <v/>
      </c>
      <c r="AP10" s="2">
        <f>IF(K10&gt;0;K10*AO10;0)</f>
        <v/>
      </c>
      <c r="AQ10" s="2">
        <f>L10-K10-AI10-AE10-IF(AM10&gt;0;AM10;'_Настройки'!$B$9)-AP10-AC10</f>
        <v/>
      </c>
      <c r="AR10" s="3">
        <f>IF(L10&gt;0;AQ10/L10;"")</f>
        <v/>
      </c>
      <c r="AS10" s="3">
        <f>IF(K10&gt;0;AQ10/K10;"")</f>
        <v/>
      </c>
      <c r="AT10" s="2">
        <f>L10-K10-AL10-AE10-IF(AM10&gt;0;AM10;'_Настройки'!$B$9)-AP10-AC10</f>
        <v/>
      </c>
      <c r="AU10" s="3">
        <f>IF(L10&gt;0;AT10/L10;"")</f>
        <v/>
      </c>
      <c r="AV10" s="3">
        <f>IF(K10&gt;0;AT10/K10;"")</f>
        <v/>
      </c>
    </row>
    <row r="11">
      <c r="A11">
        <f>ROW()-1</f>
        <v/>
      </c>
      <c r="K11" s="2">
        <f>IFERROR(INDEX('_Цены_закупки'!$B:$B;MATCH(C11;'_Цены_закупки'!$A:$A;0));"")</f>
        <v/>
      </c>
      <c r="L11" s="2" t="n"/>
      <c r="M11" s="2" t="n"/>
      <c r="N11" s="3">
        <f>IF(AND(M11&gt;0;L11&gt;0);1-L11/M11;"")</f>
        <v/>
      </c>
      <c r="O11" s="2">
        <f>IF(OR(Q11="";K11=0);"";(K11+IF(AM11&gt;0;AM11;'_Настройки'!$B$9)+AP11+AC11+Q11*K11)/(1-AH11-AD11))</f>
        <v/>
      </c>
      <c r="P11" s="2">
        <f>IF(O11="";"";O11-K11-O11*AH11-O11*AD11-IF(AM11&gt;0;AM11;'_Настройки'!$B$9)-AP11-AC11)</f>
        <v/>
      </c>
      <c r="Q11" s="3">
        <f>IF(AND(O11&gt;0;K11&gt;0);P11/K11;"")</f>
        <v/>
      </c>
      <c r="R11" s="2">
        <f>IF(O11="";"";O11-K11-O11*AK11-O11*AD11-IF(AM11&gt;0;AM11;'_Настройки'!$B$9)-AP11-AC11)</f>
        <v/>
      </c>
      <c r="S11" s="3">
        <f>IF(AND(O11&gt;0;K11&gt;0);R11/K11;"")</f>
        <v/>
      </c>
      <c r="T11" s="2" t="n"/>
      <c r="U11" s="3">
        <f>IF(AND(L11&gt;0;T11&gt;0);1-T11/L11;"")</f>
        <v/>
      </c>
      <c r="V11" s="3">
        <f>'_Настройки'!$B$4</f>
        <v/>
      </c>
      <c r="Z11" s="4">
        <f>IF(AND(W11&gt;0;X11&gt;0;Y11&gt;0);W11*X11*Y11/1000;"")</f>
        <v/>
      </c>
      <c r="AB11" s="2">
        <f>('_Настройки'!$B$6+MAX(0;Z11-1)*'_Настройки'!$B$7)*IF(AA11&gt;0;AA11;'_Настройки'!$B$10)</f>
        <v/>
      </c>
      <c r="AC11" s="2">
        <f>AB11*(1+'_Настройки'!$B$8)</f>
        <v/>
      </c>
      <c r="AD11" s="3">
        <f>'_Настройки'!$B$2</f>
        <v/>
      </c>
      <c r="AE11" s="2">
        <f>L11*AD11</f>
        <v/>
      </c>
      <c r="AF11" s="3">
        <f>'_Настройки'!$B$3</f>
        <v/>
      </c>
      <c r="AG11" s="3">
        <f>IFERROR(INDEX('_Комиссия_ВБ'!$B:$B;MATCH(C11;'_Комиссия_ВБ'!$A:$A;0));0,245)</f>
        <v/>
      </c>
      <c r="AH11" s="3">
        <f>AG11+AF11</f>
        <v/>
      </c>
      <c r="AI11" s="2">
        <f>L11*AH11</f>
        <v/>
      </c>
      <c r="AJ11" s="3">
        <f>IFERROR(INDEX('_Комиссия_ВБ'!$C:$C;MATCH(C11;'_Комиссия_ВБ'!$A:$A;0));0,28)</f>
        <v/>
      </c>
      <c r="AK11" s="3">
        <f>AJ11+AF11</f>
        <v/>
      </c>
      <c r="AL11" s="2">
        <f>L11*AK11</f>
        <v/>
      </c>
      <c r="AM11" s="2" t="n"/>
      <c r="AO11" s="3">
        <f>'_Настройки'!$B$5</f>
        <v/>
      </c>
      <c r="AP11" s="2">
        <f>IF(K11&gt;0;K11*AO11;0)</f>
        <v/>
      </c>
      <c r="AQ11" s="2">
        <f>L11-K11-AI11-AE11-IF(AM11&gt;0;AM11;'_Настройки'!$B$9)-AP11-AC11</f>
        <v/>
      </c>
      <c r="AR11" s="3">
        <f>IF(L11&gt;0;AQ11/L11;"")</f>
        <v/>
      </c>
      <c r="AS11" s="3">
        <f>IF(K11&gt;0;AQ11/K11;"")</f>
        <v/>
      </c>
      <c r="AT11" s="2">
        <f>L11-K11-AL11-AE11-IF(AM11&gt;0;AM11;'_Настройки'!$B$9)-AP11-AC11</f>
        <v/>
      </c>
      <c r="AU11" s="3">
        <f>IF(L11&gt;0;AT11/L11;"")</f>
        <v/>
      </c>
      <c r="AV11" s="3">
        <f>IF(K11&gt;0;AT11/K11;"")</f>
        <v/>
      </c>
    </row>
    <row r="12">
      <c r="A12">
        <f>ROW()-1</f>
        <v/>
      </c>
      <c r="K12" s="2">
        <f>IFERROR(INDEX('_Цены_закупки'!$B:$B;MATCH(C12;'_Цены_закупки'!$A:$A;0));"")</f>
        <v/>
      </c>
      <c r="L12" s="2" t="n"/>
      <c r="M12" s="2" t="n"/>
      <c r="N12" s="3">
        <f>IF(AND(M12&gt;0;L12&gt;0);1-L12/M12;"")</f>
        <v/>
      </c>
      <c r="O12" s="2">
        <f>IF(OR(Q12="";K12=0);"";(K12+IF(AM12&gt;0;AM12;'_Настройки'!$B$9)+AP12+AC12+Q12*K12)/(1-AH12-AD12))</f>
        <v/>
      </c>
      <c r="P12" s="2">
        <f>IF(O12="";"";O12-K12-O12*AH12-O12*AD12-IF(AM12&gt;0;AM12;'_Настройки'!$B$9)-AP12-AC12)</f>
        <v/>
      </c>
      <c r="Q12" s="3">
        <f>IF(AND(O12&gt;0;K12&gt;0);P12/K12;"")</f>
        <v/>
      </c>
      <c r="R12" s="2">
        <f>IF(O12="";"";O12-K12-O12*AK12-O12*AD12-IF(AM12&gt;0;AM12;'_Настройки'!$B$9)-AP12-AC12)</f>
        <v/>
      </c>
      <c r="S12" s="3">
        <f>IF(AND(O12&gt;0;K12&gt;0);R12/K12;"")</f>
        <v/>
      </c>
      <c r="T12" s="2" t="n"/>
      <c r="U12" s="3">
        <f>IF(AND(L12&gt;0;T12&gt;0);1-T12/L12;"")</f>
        <v/>
      </c>
      <c r="V12" s="3">
        <f>'_Настройки'!$B$4</f>
        <v/>
      </c>
      <c r="Z12" s="4">
        <f>IF(AND(W12&gt;0;X12&gt;0;Y12&gt;0);W12*X12*Y12/1000;"")</f>
        <v/>
      </c>
      <c r="AB12" s="2">
        <f>('_Настройки'!$B$6+MAX(0;Z12-1)*'_Настройки'!$B$7)*IF(AA12&gt;0;AA12;'_Настройки'!$B$10)</f>
        <v/>
      </c>
      <c r="AC12" s="2">
        <f>AB12*(1+'_Настройки'!$B$8)</f>
        <v/>
      </c>
      <c r="AD12" s="3">
        <f>'_Настройки'!$B$2</f>
        <v/>
      </c>
      <c r="AE12" s="2">
        <f>L12*AD12</f>
        <v/>
      </c>
      <c r="AF12" s="3">
        <f>'_Настройки'!$B$3</f>
        <v/>
      </c>
      <c r="AG12" s="3">
        <f>IFERROR(INDEX('_Комиссия_ВБ'!$B:$B;MATCH(C12;'_Комиссия_ВБ'!$A:$A;0));0,245)</f>
        <v/>
      </c>
      <c r="AH12" s="3">
        <f>AG12+AF12</f>
        <v/>
      </c>
      <c r="AI12" s="2">
        <f>L12*AH12</f>
        <v/>
      </c>
      <c r="AJ12" s="3">
        <f>IFERROR(INDEX('_Комиссия_ВБ'!$C:$C;MATCH(C12;'_Комиссия_ВБ'!$A:$A;0));0,28)</f>
        <v/>
      </c>
      <c r="AK12" s="3">
        <f>AJ12+AF12</f>
        <v/>
      </c>
      <c r="AL12" s="2">
        <f>L12*AK12</f>
        <v/>
      </c>
      <c r="AM12" s="2" t="n"/>
      <c r="AO12" s="3">
        <f>'_Настройки'!$B$5</f>
        <v/>
      </c>
      <c r="AP12" s="2">
        <f>IF(K12&gt;0;K12*AO12;0)</f>
        <v/>
      </c>
      <c r="AQ12" s="2">
        <f>L12-K12-AI12-AE12-IF(AM12&gt;0;AM12;'_Настройки'!$B$9)-AP12-AC12</f>
        <v/>
      </c>
      <c r="AR12" s="3">
        <f>IF(L12&gt;0;AQ12/L12;"")</f>
        <v/>
      </c>
      <c r="AS12" s="3">
        <f>IF(K12&gt;0;AQ12/K12;"")</f>
        <v/>
      </c>
      <c r="AT12" s="2">
        <f>L12-K12-AL12-AE12-IF(AM12&gt;0;AM12;'_Настройки'!$B$9)-AP12-AC12</f>
        <v/>
      </c>
      <c r="AU12" s="3">
        <f>IF(L12&gt;0;AT12/L12;"")</f>
        <v/>
      </c>
      <c r="AV12" s="3">
        <f>IF(K12&gt;0;AT12/K12;"")</f>
        <v/>
      </c>
    </row>
    <row r="13">
      <c r="A13">
        <f>ROW()-1</f>
        <v/>
      </c>
      <c r="K13" s="2">
        <f>IFERROR(INDEX('_Цены_закупки'!$B:$B;MATCH(C13;'_Цены_закупки'!$A:$A;0));"")</f>
        <v/>
      </c>
      <c r="L13" s="2" t="n"/>
      <c r="M13" s="2" t="n"/>
      <c r="N13" s="3">
        <f>IF(AND(M13&gt;0;L13&gt;0);1-L13/M13;"")</f>
        <v/>
      </c>
      <c r="O13" s="2">
        <f>IF(OR(Q13="";K13=0);"";(K13+IF(AM13&gt;0;AM13;'_Настройки'!$B$9)+AP13+AC13+Q13*K13)/(1-AH13-AD13))</f>
        <v/>
      </c>
      <c r="P13" s="2">
        <f>IF(O13="";"";O13-K13-O13*AH13-O13*AD13-IF(AM13&gt;0;AM13;'_Настройки'!$B$9)-AP13-AC13)</f>
        <v/>
      </c>
      <c r="Q13" s="3">
        <f>IF(AND(O13&gt;0;K13&gt;0);P13/K13;"")</f>
        <v/>
      </c>
      <c r="R13" s="2">
        <f>IF(O13="";"";O13-K13-O13*AK13-O13*AD13-IF(AM13&gt;0;AM13;'_Настройки'!$B$9)-AP13-AC13)</f>
        <v/>
      </c>
      <c r="S13" s="3">
        <f>IF(AND(O13&gt;0;K13&gt;0);R13/K13;"")</f>
        <v/>
      </c>
      <c r="T13" s="2" t="n"/>
      <c r="U13" s="3">
        <f>IF(AND(L13&gt;0;T13&gt;0);1-T13/L13;"")</f>
        <v/>
      </c>
      <c r="V13" s="3">
        <f>'_Настройки'!$B$4</f>
        <v/>
      </c>
      <c r="Z13" s="4">
        <f>IF(AND(W13&gt;0;X13&gt;0;Y13&gt;0);W13*X13*Y13/1000;"")</f>
        <v/>
      </c>
      <c r="AB13" s="2">
        <f>('_Настройки'!$B$6+MAX(0;Z13-1)*'_Настройки'!$B$7)*IF(AA13&gt;0;AA13;'_Настройки'!$B$10)</f>
        <v/>
      </c>
      <c r="AC13" s="2">
        <f>AB13*(1+'_Настройки'!$B$8)</f>
        <v/>
      </c>
      <c r="AD13" s="3">
        <f>'_Настройки'!$B$2</f>
        <v/>
      </c>
      <c r="AE13" s="2">
        <f>L13*AD13</f>
        <v/>
      </c>
      <c r="AF13" s="3">
        <f>'_Настройки'!$B$3</f>
        <v/>
      </c>
      <c r="AG13" s="3">
        <f>IFERROR(INDEX('_Комиссия_ВБ'!$B:$B;MATCH(C13;'_Комиссия_ВБ'!$A:$A;0));0,245)</f>
        <v/>
      </c>
      <c r="AH13" s="3">
        <f>AG13+AF13</f>
        <v/>
      </c>
      <c r="AI13" s="2">
        <f>L13*AH13</f>
        <v/>
      </c>
      <c r="AJ13" s="3">
        <f>IFERROR(INDEX('_Комиссия_ВБ'!$C:$C;MATCH(C13;'_Комиссия_ВБ'!$A:$A;0));0,28)</f>
        <v/>
      </c>
      <c r="AK13" s="3">
        <f>AJ13+AF13</f>
        <v/>
      </c>
      <c r="AL13" s="2">
        <f>L13*AK13</f>
        <v/>
      </c>
      <c r="AM13" s="2" t="n"/>
      <c r="AO13" s="3">
        <f>'_Настройки'!$B$5</f>
        <v/>
      </c>
      <c r="AP13" s="2">
        <f>IF(K13&gt;0;K13*AO13;0)</f>
        <v/>
      </c>
      <c r="AQ13" s="2">
        <f>L13-K13-AI13-AE13-IF(AM13&gt;0;AM13;'_Настройки'!$B$9)-AP13-AC13</f>
        <v/>
      </c>
      <c r="AR13" s="3">
        <f>IF(L13&gt;0;AQ13/L13;"")</f>
        <v/>
      </c>
      <c r="AS13" s="3">
        <f>IF(K13&gt;0;AQ13/K13;"")</f>
        <v/>
      </c>
      <c r="AT13" s="2">
        <f>L13-K13-AL13-AE13-IF(AM13&gt;0;AM13;'_Настройки'!$B$9)-AP13-AC13</f>
        <v/>
      </c>
      <c r="AU13" s="3">
        <f>IF(L13&gt;0;AT13/L13;"")</f>
        <v/>
      </c>
      <c r="AV13" s="3">
        <f>IF(K13&gt;0;AT13/K13;"")</f>
        <v/>
      </c>
    </row>
    <row r="14">
      <c r="A14">
        <f>ROW()-1</f>
        <v/>
      </c>
      <c r="K14" s="2">
        <f>IFERROR(INDEX('_Цены_закупки'!$B:$B;MATCH(C14;'_Цены_закупки'!$A:$A;0));"")</f>
        <v/>
      </c>
      <c r="L14" s="2" t="n"/>
      <c r="M14" s="2" t="n"/>
      <c r="N14" s="3">
        <f>IF(AND(M14&gt;0;L14&gt;0);1-L14/M14;"")</f>
        <v/>
      </c>
      <c r="O14" s="2">
        <f>IF(OR(Q14="";K14=0);"";(K14+IF(AM14&gt;0;AM14;'_Настройки'!$B$9)+AP14+AC14+Q14*K14)/(1-AH14-AD14))</f>
        <v/>
      </c>
      <c r="P14" s="2">
        <f>IF(O14="";"";O14-K14-O14*AH14-O14*AD14-IF(AM14&gt;0;AM14;'_Настройки'!$B$9)-AP14-AC14)</f>
        <v/>
      </c>
      <c r="Q14" s="3">
        <f>IF(AND(O14&gt;0;K14&gt;0);P14/K14;"")</f>
        <v/>
      </c>
      <c r="R14" s="2">
        <f>IF(O14="";"";O14-K14-O14*AK14-O14*AD14-IF(AM14&gt;0;AM14;'_Настройки'!$B$9)-AP14-AC14)</f>
        <v/>
      </c>
      <c r="S14" s="3">
        <f>IF(AND(O14&gt;0;K14&gt;0);R14/K14;"")</f>
        <v/>
      </c>
      <c r="T14" s="2" t="n"/>
      <c r="U14" s="3">
        <f>IF(AND(L14&gt;0;T14&gt;0);1-T14/L14;"")</f>
        <v/>
      </c>
      <c r="V14" s="3">
        <f>'_Настройки'!$B$4</f>
        <v/>
      </c>
      <c r="Z14" s="4">
        <f>IF(AND(W14&gt;0;X14&gt;0;Y14&gt;0);W14*X14*Y14/1000;"")</f>
        <v/>
      </c>
      <c r="AB14" s="2">
        <f>('_Настройки'!$B$6+MAX(0;Z14-1)*'_Настройки'!$B$7)*IF(AA14&gt;0;AA14;'_Настройки'!$B$10)</f>
        <v/>
      </c>
      <c r="AC14" s="2">
        <f>AB14*(1+'_Настройки'!$B$8)</f>
        <v/>
      </c>
      <c r="AD14" s="3">
        <f>'_Настройки'!$B$2</f>
        <v/>
      </c>
      <c r="AE14" s="2">
        <f>L14*AD14</f>
        <v/>
      </c>
      <c r="AF14" s="3">
        <f>'_Настройки'!$B$3</f>
        <v/>
      </c>
      <c r="AG14" s="3">
        <f>IFERROR(INDEX('_Комиссия_ВБ'!$B:$B;MATCH(C14;'_Комиссия_ВБ'!$A:$A;0));0,245)</f>
        <v/>
      </c>
      <c r="AH14" s="3">
        <f>AG14+AF14</f>
        <v/>
      </c>
      <c r="AI14" s="2">
        <f>L14*AH14</f>
        <v/>
      </c>
      <c r="AJ14" s="3">
        <f>IFERROR(INDEX('_Комиссия_ВБ'!$C:$C;MATCH(C14;'_Комиссия_ВБ'!$A:$A;0));0,28)</f>
        <v/>
      </c>
      <c r="AK14" s="3">
        <f>AJ14+AF14</f>
        <v/>
      </c>
      <c r="AL14" s="2">
        <f>L14*AK14</f>
        <v/>
      </c>
      <c r="AM14" s="2" t="n"/>
      <c r="AO14" s="3">
        <f>'_Настройки'!$B$5</f>
        <v/>
      </c>
      <c r="AP14" s="2">
        <f>IF(K14&gt;0;K14*AO14;0)</f>
        <v/>
      </c>
      <c r="AQ14" s="2">
        <f>L14-K14-AI14-AE14-IF(AM14&gt;0;AM14;'_Настройки'!$B$9)-AP14-AC14</f>
        <v/>
      </c>
      <c r="AR14" s="3">
        <f>IF(L14&gt;0;AQ14/L14;"")</f>
        <v/>
      </c>
      <c r="AS14" s="3">
        <f>IF(K14&gt;0;AQ14/K14;"")</f>
        <v/>
      </c>
      <c r="AT14" s="2">
        <f>L14-K14-AL14-AE14-IF(AM14&gt;0;AM14;'_Настройки'!$B$9)-AP14-AC14</f>
        <v/>
      </c>
      <c r="AU14" s="3">
        <f>IF(L14&gt;0;AT14/L14;"")</f>
        <v/>
      </c>
      <c r="AV14" s="3">
        <f>IF(K14&gt;0;AT14/K14;"")</f>
        <v/>
      </c>
    </row>
    <row r="15">
      <c r="A15">
        <f>ROW()-1</f>
        <v/>
      </c>
      <c r="K15" s="2">
        <f>IFERROR(INDEX('_Цены_закупки'!$B:$B;MATCH(C15;'_Цены_закупки'!$A:$A;0));"")</f>
        <v/>
      </c>
      <c r="L15" s="2" t="n"/>
      <c r="M15" s="2" t="n"/>
      <c r="N15" s="3">
        <f>IF(AND(M15&gt;0;L15&gt;0);1-L15/M15;"")</f>
        <v/>
      </c>
      <c r="O15" s="2">
        <f>IF(OR(Q15="";K15=0);"";(K15+IF(AM15&gt;0;AM15;'_Настройки'!$B$9)+AP15+AC15+Q15*K15)/(1-AH15-AD15))</f>
        <v/>
      </c>
      <c r="P15" s="2">
        <f>IF(O15="";"";O15-K15-O15*AH15-O15*AD15-IF(AM15&gt;0;AM15;'_Настройки'!$B$9)-AP15-AC15)</f>
        <v/>
      </c>
      <c r="Q15" s="3">
        <f>IF(AND(O15&gt;0;K15&gt;0);P15/K15;"")</f>
        <v/>
      </c>
      <c r="R15" s="2">
        <f>IF(O15="";"";O15-K15-O15*AK15-O15*AD15-IF(AM15&gt;0;AM15;'_Настройки'!$B$9)-AP15-AC15)</f>
        <v/>
      </c>
      <c r="S15" s="3">
        <f>IF(AND(O15&gt;0;K15&gt;0);R15/K15;"")</f>
        <v/>
      </c>
      <c r="T15" s="2" t="n"/>
      <c r="U15" s="3">
        <f>IF(AND(L15&gt;0;T15&gt;0);1-T15/L15;"")</f>
        <v/>
      </c>
      <c r="V15" s="3">
        <f>'_Настройки'!$B$4</f>
        <v/>
      </c>
      <c r="Z15" s="4">
        <f>IF(AND(W15&gt;0;X15&gt;0;Y15&gt;0);W15*X15*Y15/1000;"")</f>
        <v/>
      </c>
      <c r="AB15" s="2">
        <f>('_Настройки'!$B$6+MAX(0;Z15-1)*'_Настройки'!$B$7)*IF(AA15&gt;0;AA15;'_Настройки'!$B$10)</f>
        <v/>
      </c>
      <c r="AC15" s="2">
        <f>AB15*(1+'_Настройки'!$B$8)</f>
        <v/>
      </c>
      <c r="AD15" s="3">
        <f>'_Настройки'!$B$2</f>
        <v/>
      </c>
      <c r="AE15" s="2">
        <f>L15*AD15</f>
        <v/>
      </c>
      <c r="AF15" s="3">
        <f>'_Настройки'!$B$3</f>
        <v/>
      </c>
      <c r="AG15" s="3">
        <f>IFERROR(INDEX('_Комиссия_ВБ'!$B:$B;MATCH(C15;'_Комиссия_ВБ'!$A:$A;0));0,245)</f>
        <v/>
      </c>
      <c r="AH15" s="3">
        <f>AG15+AF15</f>
        <v/>
      </c>
      <c r="AI15" s="2">
        <f>L15*AH15</f>
        <v/>
      </c>
      <c r="AJ15" s="3">
        <f>IFERROR(INDEX('_Комиссия_ВБ'!$C:$C;MATCH(C15;'_Комиссия_ВБ'!$A:$A;0));0,28)</f>
        <v/>
      </c>
      <c r="AK15" s="3">
        <f>AJ15+AF15</f>
        <v/>
      </c>
      <c r="AL15" s="2">
        <f>L15*AK15</f>
        <v/>
      </c>
      <c r="AM15" s="2" t="n"/>
      <c r="AO15" s="3">
        <f>'_Настройки'!$B$5</f>
        <v/>
      </c>
      <c r="AP15" s="2">
        <f>IF(K15&gt;0;K15*AO15;0)</f>
        <v/>
      </c>
      <c r="AQ15" s="2">
        <f>L15-K15-AI15-AE15-IF(AM15&gt;0;AM15;'_Настройки'!$B$9)-AP15-AC15</f>
        <v/>
      </c>
      <c r="AR15" s="3">
        <f>IF(L15&gt;0;AQ15/L15;"")</f>
        <v/>
      </c>
      <c r="AS15" s="3">
        <f>IF(K15&gt;0;AQ15/K15;"")</f>
        <v/>
      </c>
      <c r="AT15" s="2">
        <f>L15-K15-AL15-AE15-IF(AM15&gt;0;AM15;'_Настройки'!$B$9)-AP15-AC15</f>
        <v/>
      </c>
      <c r="AU15" s="3">
        <f>IF(L15&gt;0;AT15/L15;"")</f>
        <v/>
      </c>
      <c r="AV15" s="3">
        <f>IF(K15&gt;0;AT15/K15;"")</f>
        <v/>
      </c>
    </row>
    <row r="16">
      <c r="A16">
        <f>ROW()-1</f>
        <v/>
      </c>
      <c r="K16" s="2">
        <f>IFERROR(INDEX('_Цены_закупки'!$B:$B;MATCH(C16;'_Цены_закупки'!$A:$A;0));"")</f>
        <v/>
      </c>
      <c r="L16" s="2" t="n"/>
      <c r="M16" s="2" t="n"/>
      <c r="N16" s="3">
        <f>IF(AND(M16&gt;0;L16&gt;0);1-L16/M16;"")</f>
        <v/>
      </c>
      <c r="O16" s="2">
        <f>IF(OR(Q16="";K16=0);"";(K16+IF(AM16&gt;0;AM16;'_Настройки'!$B$9)+AP16+AC16+Q16*K16)/(1-AH16-AD16))</f>
        <v/>
      </c>
      <c r="P16" s="2">
        <f>IF(O16="";"";O16-K16-O16*AH16-O16*AD16-IF(AM16&gt;0;AM16;'_Настройки'!$B$9)-AP16-AC16)</f>
        <v/>
      </c>
      <c r="Q16" s="3">
        <f>IF(AND(O16&gt;0;K16&gt;0);P16/K16;"")</f>
        <v/>
      </c>
      <c r="R16" s="2">
        <f>IF(O16="";"";O16-K16-O16*AK16-O16*AD16-IF(AM16&gt;0;AM16;'_Настройки'!$B$9)-AP16-AC16)</f>
        <v/>
      </c>
      <c r="S16" s="3">
        <f>IF(AND(O16&gt;0;K16&gt;0);R16/K16;"")</f>
        <v/>
      </c>
      <c r="T16" s="2" t="n"/>
      <c r="U16" s="3">
        <f>IF(AND(L16&gt;0;T16&gt;0);1-T16/L16;"")</f>
        <v/>
      </c>
      <c r="V16" s="3">
        <f>'_Настройки'!$B$4</f>
        <v/>
      </c>
      <c r="Z16" s="4">
        <f>IF(AND(W16&gt;0;X16&gt;0;Y16&gt;0);W16*X16*Y16/1000;"")</f>
        <v/>
      </c>
      <c r="AB16" s="2">
        <f>('_Настройки'!$B$6+MAX(0;Z16-1)*'_Настройки'!$B$7)*IF(AA16&gt;0;AA16;'_Настройки'!$B$10)</f>
        <v/>
      </c>
      <c r="AC16" s="2">
        <f>AB16*(1+'_Настройки'!$B$8)</f>
        <v/>
      </c>
      <c r="AD16" s="3">
        <f>'_Настройки'!$B$2</f>
        <v/>
      </c>
      <c r="AE16" s="2">
        <f>L16*AD16</f>
        <v/>
      </c>
      <c r="AF16" s="3">
        <f>'_Настройки'!$B$3</f>
        <v/>
      </c>
      <c r="AG16" s="3">
        <f>IFERROR(INDEX('_Комиссия_ВБ'!$B:$B;MATCH(C16;'_Комиссия_ВБ'!$A:$A;0));0,245)</f>
        <v/>
      </c>
      <c r="AH16" s="3">
        <f>AG16+AF16</f>
        <v/>
      </c>
      <c r="AI16" s="2">
        <f>L16*AH16</f>
        <v/>
      </c>
      <c r="AJ16" s="3">
        <f>IFERROR(INDEX('_Комиссия_ВБ'!$C:$C;MATCH(C16;'_Комиссия_ВБ'!$A:$A;0));0,28)</f>
        <v/>
      </c>
      <c r="AK16" s="3">
        <f>AJ16+AF16</f>
        <v/>
      </c>
      <c r="AL16" s="2">
        <f>L16*AK16</f>
        <v/>
      </c>
      <c r="AM16" s="2" t="n"/>
      <c r="AO16" s="3">
        <f>'_Настройки'!$B$5</f>
        <v/>
      </c>
      <c r="AP16" s="2">
        <f>IF(K16&gt;0;K16*AO16;0)</f>
        <v/>
      </c>
      <c r="AQ16" s="2">
        <f>L16-K16-AI16-AE16-IF(AM16&gt;0;AM16;'_Настройки'!$B$9)-AP16-AC16</f>
        <v/>
      </c>
      <c r="AR16" s="3">
        <f>IF(L16&gt;0;AQ16/L16;"")</f>
        <v/>
      </c>
      <c r="AS16" s="3">
        <f>IF(K16&gt;0;AQ16/K16;"")</f>
        <v/>
      </c>
      <c r="AT16" s="2">
        <f>L16-K16-AL16-AE16-IF(AM16&gt;0;AM16;'_Настройки'!$B$9)-AP16-AC16</f>
        <v/>
      </c>
      <c r="AU16" s="3">
        <f>IF(L16&gt;0;AT16/L16;"")</f>
        <v/>
      </c>
      <c r="AV16" s="3">
        <f>IF(K16&gt;0;AT16/K16;"")</f>
        <v/>
      </c>
    </row>
    <row r="17">
      <c r="A17">
        <f>ROW()-1</f>
        <v/>
      </c>
      <c r="K17" s="2">
        <f>IFERROR(INDEX('_Цены_закупки'!$B:$B;MATCH(C17;'_Цены_закупки'!$A:$A;0));"")</f>
        <v/>
      </c>
      <c r="L17" s="2" t="n"/>
      <c r="M17" s="2" t="n"/>
      <c r="N17" s="3">
        <f>IF(AND(M17&gt;0;L17&gt;0);1-L17/M17;"")</f>
        <v/>
      </c>
      <c r="O17" s="2">
        <f>IF(OR(Q17="";K17=0);"";(K17+IF(AM17&gt;0;AM17;'_Настройки'!$B$9)+AP17+AC17+Q17*K17)/(1-AH17-AD17))</f>
        <v/>
      </c>
      <c r="P17" s="2">
        <f>IF(O17="";"";O17-K17-O17*AH17-O17*AD17-IF(AM17&gt;0;AM17;'_Настройки'!$B$9)-AP17-AC17)</f>
        <v/>
      </c>
      <c r="Q17" s="3">
        <f>IF(AND(O17&gt;0;K17&gt;0);P17/K17;"")</f>
        <v/>
      </c>
      <c r="R17" s="2">
        <f>IF(O17="";"";O17-K17-O17*AK17-O17*AD17-IF(AM17&gt;0;AM17;'_Настройки'!$B$9)-AP17-AC17)</f>
        <v/>
      </c>
      <c r="S17" s="3">
        <f>IF(AND(O17&gt;0;K17&gt;0);R17/K17;"")</f>
        <v/>
      </c>
      <c r="T17" s="2" t="n"/>
      <c r="U17" s="3">
        <f>IF(AND(L17&gt;0;T17&gt;0);1-T17/L17;"")</f>
        <v/>
      </c>
      <c r="V17" s="3">
        <f>'_Настройки'!$B$4</f>
        <v/>
      </c>
      <c r="Z17" s="4">
        <f>IF(AND(W17&gt;0;X17&gt;0;Y17&gt;0);W17*X17*Y17/1000;"")</f>
        <v/>
      </c>
      <c r="AB17" s="2">
        <f>('_Настройки'!$B$6+MAX(0;Z17-1)*'_Настройки'!$B$7)*IF(AA17&gt;0;AA17;'_Настройки'!$B$10)</f>
        <v/>
      </c>
      <c r="AC17" s="2">
        <f>AB17*(1+'_Настройки'!$B$8)</f>
        <v/>
      </c>
      <c r="AD17" s="3">
        <f>'_Настройки'!$B$2</f>
        <v/>
      </c>
      <c r="AE17" s="2">
        <f>L17*AD17</f>
        <v/>
      </c>
      <c r="AF17" s="3">
        <f>'_Настройки'!$B$3</f>
        <v/>
      </c>
      <c r="AG17" s="3">
        <f>IFERROR(INDEX('_Комиссия_ВБ'!$B:$B;MATCH(C17;'_Комиссия_ВБ'!$A:$A;0));0,245)</f>
        <v/>
      </c>
      <c r="AH17" s="3">
        <f>AG17+AF17</f>
        <v/>
      </c>
      <c r="AI17" s="2">
        <f>L17*AH17</f>
        <v/>
      </c>
      <c r="AJ17" s="3">
        <f>IFERROR(INDEX('_Комиссия_ВБ'!$C:$C;MATCH(C17;'_Комиссия_ВБ'!$A:$A;0));0,28)</f>
        <v/>
      </c>
      <c r="AK17" s="3">
        <f>AJ17+AF17</f>
        <v/>
      </c>
      <c r="AL17" s="2">
        <f>L17*AK17</f>
        <v/>
      </c>
      <c r="AM17" s="2" t="n"/>
      <c r="AO17" s="3">
        <f>'_Настройки'!$B$5</f>
        <v/>
      </c>
      <c r="AP17" s="2">
        <f>IF(K17&gt;0;K17*AO17;0)</f>
        <v/>
      </c>
      <c r="AQ17" s="2">
        <f>L17-K17-AI17-AE17-IF(AM17&gt;0;AM17;'_Настройки'!$B$9)-AP17-AC17</f>
        <v/>
      </c>
      <c r="AR17" s="3">
        <f>IF(L17&gt;0;AQ17/L17;"")</f>
        <v/>
      </c>
      <c r="AS17" s="3">
        <f>IF(K17&gt;0;AQ17/K17;"")</f>
        <v/>
      </c>
      <c r="AT17" s="2">
        <f>L17-K17-AL17-AE17-IF(AM17&gt;0;AM17;'_Настройки'!$B$9)-AP17-AC17</f>
        <v/>
      </c>
      <c r="AU17" s="3">
        <f>IF(L17&gt;0;AT17/L17;"")</f>
        <v/>
      </c>
      <c r="AV17" s="3">
        <f>IF(K17&gt;0;AT17/K17;"")</f>
        <v/>
      </c>
    </row>
    <row r="18">
      <c r="A18">
        <f>ROW()-1</f>
        <v/>
      </c>
      <c r="K18" s="2">
        <f>IFERROR(INDEX('_Цены_закупки'!$B:$B;MATCH(C18;'_Цены_закупки'!$A:$A;0));"")</f>
        <v/>
      </c>
      <c r="L18" s="2" t="n"/>
      <c r="M18" s="2" t="n"/>
      <c r="N18" s="3">
        <f>IF(AND(M18&gt;0;L18&gt;0);1-L18/M18;"")</f>
        <v/>
      </c>
      <c r="O18" s="2">
        <f>IF(OR(Q18="";K18=0);"";(K18+IF(AM18&gt;0;AM18;'_Настройки'!$B$9)+AP18+AC18+Q18*K18)/(1-AH18-AD18))</f>
        <v/>
      </c>
      <c r="P18" s="2">
        <f>IF(O18="";"";O18-K18-O18*AH18-O18*AD18-IF(AM18&gt;0;AM18;'_Настройки'!$B$9)-AP18-AC18)</f>
        <v/>
      </c>
      <c r="Q18" s="3">
        <f>IF(AND(O18&gt;0;K18&gt;0);P18/K18;"")</f>
        <v/>
      </c>
      <c r="R18" s="2">
        <f>IF(O18="";"";O18-K18-O18*AK18-O18*AD18-IF(AM18&gt;0;AM18;'_Настройки'!$B$9)-AP18-AC18)</f>
        <v/>
      </c>
      <c r="S18" s="3">
        <f>IF(AND(O18&gt;0;K18&gt;0);R18/K18;"")</f>
        <v/>
      </c>
      <c r="T18" s="2" t="n"/>
      <c r="U18" s="3">
        <f>IF(AND(L18&gt;0;T18&gt;0);1-T18/L18;"")</f>
        <v/>
      </c>
      <c r="V18" s="3">
        <f>'_Настройки'!$B$4</f>
        <v/>
      </c>
      <c r="Z18" s="4">
        <f>IF(AND(W18&gt;0;X18&gt;0;Y18&gt;0);W18*X18*Y18/1000;"")</f>
        <v/>
      </c>
      <c r="AB18" s="2">
        <f>('_Настройки'!$B$6+MAX(0;Z18-1)*'_Настройки'!$B$7)*IF(AA18&gt;0;AA18;'_Настройки'!$B$10)</f>
        <v/>
      </c>
      <c r="AC18" s="2">
        <f>AB18*(1+'_Настройки'!$B$8)</f>
        <v/>
      </c>
      <c r="AD18" s="3">
        <f>'_Настройки'!$B$2</f>
        <v/>
      </c>
      <c r="AE18" s="2">
        <f>L18*AD18</f>
        <v/>
      </c>
      <c r="AF18" s="3">
        <f>'_Настройки'!$B$3</f>
        <v/>
      </c>
      <c r="AG18" s="3">
        <f>IFERROR(INDEX('_Комиссия_ВБ'!$B:$B;MATCH(C18;'_Комиссия_ВБ'!$A:$A;0));0,245)</f>
        <v/>
      </c>
      <c r="AH18" s="3">
        <f>AG18+AF18</f>
        <v/>
      </c>
      <c r="AI18" s="2">
        <f>L18*AH18</f>
        <v/>
      </c>
      <c r="AJ18" s="3">
        <f>IFERROR(INDEX('_Комиссия_ВБ'!$C:$C;MATCH(C18;'_Комиссия_ВБ'!$A:$A;0));0,28)</f>
        <v/>
      </c>
      <c r="AK18" s="3">
        <f>AJ18+AF18</f>
        <v/>
      </c>
      <c r="AL18" s="2">
        <f>L18*AK18</f>
        <v/>
      </c>
      <c r="AM18" s="2" t="n"/>
      <c r="AO18" s="3">
        <f>'_Настройки'!$B$5</f>
        <v/>
      </c>
      <c r="AP18" s="2">
        <f>IF(K18&gt;0;K18*AO18;0)</f>
        <v/>
      </c>
      <c r="AQ18" s="2">
        <f>L18-K18-AI18-AE18-IF(AM18&gt;0;AM18;'_Настройки'!$B$9)-AP18-AC18</f>
        <v/>
      </c>
      <c r="AR18" s="3">
        <f>IF(L18&gt;0;AQ18/L18;"")</f>
        <v/>
      </c>
      <c r="AS18" s="3">
        <f>IF(K18&gt;0;AQ18/K18;"")</f>
        <v/>
      </c>
      <c r="AT18" s="2">
        <f>L18-K18-AL18-AE18-IF(AM18&gt;0;AM18;'_Настройки'!$B$9)-AP18-AC18</f>
        <v/>
      </c>
      <c r="AU18" s="3">
        <f>IF(L18&gt;0;AT18/L18;"")</f>
        <v/>
      </c>
      <c r="AV18" s="3">
        <f>IF(K18&gt;0;AT18/K18;"")</f>
        <v/>
      </c>
    </row>
    <row r="19">
      <c r="A19">
        <f>ROW()-1</f>
        <v/>
      </c>
      <c r="K19" s="2">
        <f>IFERROR(INDEX('_Цены_закупки'!$B:$B;MATCH(C19;'_Цены_закупки'!$A:$A;0));"")</f>
        <v/>
      </c>
      <c r="L19" s="2" t="n"/>
      <c r="M19" s="2" t="n"/>
      <c r="N19" s="3">
        <f>IF(AND(M19&gt;0;L19&gt;0);1-L19/M19;"")</f>
        <v/>
      </c>
      <c r="O19" s="2">
        <f>IF(OR(Q19="";K19=0);"";(K19+IF(AM19&gt;0;AM19;'_Настройки'!$B$9)+AP19+AC19+Q19*K19)/(1-AH19-AD19))</f>
        <v/>
      </c>
      <c r="P19" s="2">
        <f>IF(O19="";"";O19-K19-O19*AH19-O19*AD19-IF(AM19&gt;0;AM19;'_Настройки'!$B$9)-AP19-AC19)</f>
        <v/>
      </c>
      <c r="Q19" s="3">
        <f>IF(AND(O19&gt;0;K19&gt;0);P19/K19;"")</f>
        <v/>
      </c>
      <c r="R19" s="2">
        <f>IF(O19="";"";O19-K19-O19*AK19-O19*AD19-IF(AM19&gt;0;AM19;'_Настройки'!$B$9)-AP19-AC19)</f>
        <v/>
      </c>
      <c r="S19" s="3">
        <f>IF(AND(O19&gt;0;K19&gt;0);R19/K19;"")</f>
        <v/>
      </c>
      <c r="T19" s="2" t="n"/>
      <c r="U19" s="3">
        <f>IF(AND(L19&gt;0;T19&gt;0);1-T19/L19;"")</f>
        <v/>
      </c>
      <c r="V19" s="3">
        <f>'_Настройки'!$B$4</f>
        <v/>
      </c>
      <c r="Z19" s="4">
        <f>IF(AND(W19&gt;0;X19&gt;0;Y19&gt;0);W19*X19*Y19/1000;"")</f>
        <v/>
      </c>
      <c r="AB19" s="2">
        <f>('_Настройки'!$B$6+MAX(0;Z19-1)*'_Настройки'!$B$7)*IF(AA19&gt;0;AA19;'_Настройки'!$B$10)</f>
        <v/>
      </c>
      <c r="AC19" s="2">
        <f>AB19*(1+'_Настройки'!$B$8)</f>
        <v/>
      </c>
      <c r="AD19" s="3">
        <f>'_Настройки'!$B$2</f>
        <v/>
      </c>
      <c r="AE19" s="2">
        <f>L19*AD19</f>
        <v/>
      </c>
      <c r="AF19" s="3">
        <f>'_Настройки'!$B$3</f>
        <v/>
      </c>
      <c r="AG19" s="3">
        <f>IFERROR(INDEX('_Комиссия_ВБ'!$B:$B;MATCH(C19;'_Комиссия_ВБ'!$A:$A;0));0,245)</f>
        <v/>
      </c>
      <c r="AH19" s="3">
        <f>AG19+AF19</f>
        <v/>
      </c>
      <c r="AI19" s="2">
        <f>L19*AH19</f>
        <v/>
      </c>
      <c r="AJ19" s="3">
        <f>IFERROR(INDEX('_Комиссия_ВБ'!$C:$C;MATCH(C19;'_Комиссия_ВБ'!$A:$A;0));0,28)</f>
        <v/>
      </c>
      <c r="AK19" s="3">
        <f>AJ19+AF19</f>
        <v/>
      </c>
      <c r="AL19" s="2">
        <f>L19*AK19</f>
        <v/>
      </c>
      <c r="AM19" s="2" t="n"/>
      <c r="AO19" s="3">
        <f>'_Настройки'!$B$5</f>
        <v/>
      </c>
      <c r="AP19" s="2">
        <f>IF(K19&gt;0;K19*AO19;0)</f>
        <v/>
      </c>
      <c r="AQ19" s="2">
        <f>L19-K19-AI19-AE19-IF(AM19&gt;0;AM19;'_Настройки'!$B$9)-AP19-AC19</f>
        <v/>
      </c>
      <c r="AR19" s="3">
        <f>IF(L19&gt;0;AQ19/L19;"")</f>
        <v/>
      </c>
      <c r="AS19" s="3">
        <f>IF(K19&gt;0;AQ19/K19;"")</f>
        <v/>
      </c>
      <c r="AT19" s="2">
        <f>L19-K19-AL19-AE19-IF(AM19&gt;0;AM19;'_Настройки'!$B$9)-AP19-AC19</f>
        <v/>
      </c>
      <c r="AU19" s="3">
        <f>IF(L19&gt;0;AT19/L19;"")</f>
        <v/>
      </c>
      <c r="AV19" s="3">
        <f>IF(K19&gt;0;AT19/K19;"")</f>
        <v/>
      </c>
    </row>
    <row r="20">
      <c r="A20">
        <f>ROW()-1</f>
        <v/>
      </c>
      <c r="K20" s="2">
        <f>IFERROR(INDEX('_Цены_закупки'!$B:$B;MATCH(C20;'_Цены_закупки'!$A:$A;0));"")</f>
        <v/>
      </c>
      <c r="L20" s="2" t="n"/>
      <c r="M20" s="2" t="n"/>
      <c r="N20" s="3">
        <f>IF(AND(M20&gt;0;L20&gt;0);1-L20/M20;"")</f>
        <v/>
      </c>
      <c r="O20" s="2">
        <f>IF(OR(Q20="";K20=0);"";(K20+IF(AM20&gt;0;AM20;'_Настройки'!$B$9)+AP20+AC20+Q20*K20)/(1-AH20-AD20))</f>
        <v/>
      </c>
      <c r="P20" s="2">
        <f>IF(O20="";"";O20-K20-O20*AH20-O20*AD20-IF(AM20&gt;0;AM20;'_Настройки'!$B$9)-AP20-AC20)</f>
        <v/>
      </c>
      <c r="Q20" s="3">
        <f>IF(AND(O20&gt;0;K20&gt;0);P20/K20;"")</f>
        <v/>
      </c>
      <c r="R20" s="2">
        <f>IF(O20="";"";O20-K20-O20*AK20-O20*AD20-IF(AM20&gt;0;AM20;'_Настройки'!$B$9)-AP20-AC20)</f>
        <v/>
      </c>
      <c r="S20" s="3">
        <f>IF(AND(O20&gt;0;K20&gt;0);R20/K20;"")</f>
        <v/>
      </c>
      <c r="T20" s="2" t="n"/>
      <c r="U20" s="3">
        <f>IF(AND(L20&gt;0;T20&gt;0);1-T20/L20;"")</f>
        <v/>
      </c>
      <c r="V20" s="3">
        <f>'_Настройки'!$B$4</f>
        <v/>
      </c>
      <c r="Z20" s="4">
        <f>IF(AND(W20&gt;0;X20&gt;0;Y20&gt;0);W20*X20*Y20/1000;"")</f>
        <v/>
      </c>
      <c r="AB20" s="2">
        <f>('_Настройки'!$B$6+MAX(0;Z20-1)*'_Настройки'!$B$7)*IF(AA20&gt;0;AA20;'_Настройки'!$B$10)</f>
        <v/>
      </c>
      <c r="AC20" s="2">
        <f>AB20*(1+'_Настройки'!$B$8)</f>
        <v/>
      </c>
      <c r="AD20" s="3">
        <f>'_Настройки'!$B$2</f>
        <v/>
      </c>
      <c r="AE20" s="2">
        <f>L20*AD20</f>
        <v/>
      </c>
      <c r="AF20" s="3">
        <f>'_Настройки'!$B$3</f>
        <v/>
      </c>
      <c r="AG20" s="3">
        <f>IFERROR(INDEX('_Комиссия_ВБ'!$B:$B;MATCH(C20;'_Комиссия_ВБ'!$A:$A;0));0,245)</f>
        <v/>
      </c>
      <c r="AH20" s="3">
        <f>AG20+AF20</f>
        <v/>
      </c>
      <c r="AI20" s="2">
        <f>L20*AH20</f>
        <v/>
      </c>
      <c r="AJ20" s="3">
        <f>IFERROR(INDEX('_Комиссия_ВБ'!$C:$C;MATCH(C20;'_Комиссия_ВБ'!$A:$A;0));0,28)</f>
        <v/>
      </c>
      <c r="AK20" s="3">
        <f>AJ20+AF20</f>
        <v/>
      </c>
      <c r="AL20" s="2">
        <f>L20*AK20</f>
        <v/>
      </c>
      <c r="AM20" s="2" t="n"/>
      <c r="AO20" s="3">
        <f>'_Настройки'!$B$5</f>
        <v/>
      </c>
      <c r="AP20" s="2">
        <f>IF(K20&gt;0;K20*AO20;0)</f>
        <v/>
      </c>
      <c r="AQ20" s="2">
        <f>L20-K20-AI20-AE20-IF(AM20&gt;0;AM20;'_Настройки'!$B$9)-AP20-AC20</f>
        <v/>
      </c>
      <c r="AR20" s="3">
        <f>IF(L20&gt;0;AQ20/L20;"")</f>
        <v/>
      </c>
      <c r="AS20" s="3">
        <f>IF(K20&gt;0;AQ20/K20;"")</f>
        <v/>
      </c>
      <c r="AT20" s="2">
        <f>L20-K20-AL20-AE20-IF(AM20&gt;0;AM20;'_Настройки'!$B$9)-AP20-AC20</f>
        <v/>
      </c>
      <c r="AU20" s="3">
        <f>IF(L20&gt;0;AT20/L20;"")</f>
        <v/>
      </c>
      <c r="AV20" s="3">
        <f>IF(K20&gt;0;AT20/K20;"")</f>
        <v/>
      </c>
    </row>
    <row r="21">
      <c r="A21">
        <f>ROW()-1</f>
        <v/>
      </c>
      <c r="K21" s="2">
        <f>IFERROR(INDEX('_Цены_закупки'!$B:$B;MATCH(C21;'_Цены_закупки'!$A:$A;0));"")</f>
        <v/>
      </c>
      <c r="L21" s="2" t="n"/>
      <c r="M21" s="2" t="n"/>
      <c r="N21" s="3">
        <f>IF(AND(M21&gt;0;L21&gt;0);1-L21/M21;"")</f>
        <v/>
      </c>
      <c r="O21" s="2">
        <f>IF(OR(Q21="";K21=0);"";(K21+IF(AM21&gt;0;AM21;'_Настройки'!$B$9)+AP21+AC21+Q21*K21)/(1-AH21-AD21))</f>
        <v/>
      </c>
      <c r="P21" s="2">
        <f>IF(O21="";"";O21-K21-O21*AH21-O21*AD21-IF(AM21&gt;0;AM21;'_Настройки'!$B$9)-AP21-AC21)</f>
        <v/>
      </c>
      <c r="Q21" s="3">
        <f>IF(AND(O21&gt;0;K21&gt;0);P21/K21;"")</f>
        <v/>
      </c>
      <c r="R21" s="2">
        <f>IF(O21="";"";O21-K21-O21*AK21-O21*AD21-IF(AM21&gt;0;AM21;'_Настройки'!$B$9)-AP21-AC21)</f>
        <v/>
      </c>
      <c r="S21" s="3">
        <f>IF(AND(O21&gt;0;K21&gt;0);R21/K21;"")</f>
        <v/>
      </c>
      <c r="T21" s="2" t="n"/>
      <c r="U21" s="3">
        <f>IF(AND(L21&gt;0;T21&gt;0);1-T21/L21;"")</f>
        <v/>
      </c>
      <c r="V21" s="3">
        <f>'_Настройки'!$B$4</f>
        <v/>
      </c>
      <c r="Z21" s="4">
        <f>IF(AND(W21&gt;0;X21&gt;0;Y21&gt;0);W21*X21*Y21/1000;"")</f>
        <v/>
      </c>
      <c r="AB21" s="2">
        <f>('_Настройки'!$B$6+MAX(0;Z21-1)*'_Настройки'!$B$7)*IF(AA21&gt;0;AA21;'_Настройки'!$B$10)</f>
        <v/>
      </c>
      <c r="AC21" s="2">
        <f>AB21*(1+'_Настройки'!$B$8)</f>
        <v/>
      </c>
      <c r="AD21" s="3">
        <f>'_Настройки'!$B$2</f>
        <v/>
      </c>
      <c r="AE21" s="2">
        <f>L21*AD21</f>
        <v/>
      </c>
      <c r="AF21" s="3">
        <f>'_Настройки'!$B$3</f>
        <v/>
      </c>
      <c r="AG21" s="3">
        <f>IFERROR(INDEX('_Комиссия_ВБ'!$B:$B;MATCH(C21;'_Комиссия_ВБ'!$A:$A;0));0,245)</f>
        <v/>
      </c>
      <c r="AH21" s="3">
        <f>AG21+AF21</f>
        <v/>
      </c>
      <c r="AI21" s="2">
        <f>L21*AH21</f>
        <v/>
      </c>
      <c r="AJ21" s="3">
        <f>IFERROR(INDEX('_Комиссия_ВБ'!$C:$C;MATCH(C21;'_Комиссия_ВБ'!$A:$A;0));0,28)</f>
        <v/>
      </c>
      <c r="AK21" s="3">
        <f>AJ21+AF21</f>
        <v/>
      </c>
      <c r="AL21" s="2">
        <f>L21*AK21</f>
        <v/>
      </c>
      <c r="AM21" s="2" t="n"/>
      <c r="AO21" s="3">
        <f>'_Настройки'!$B$5</f>
        <v/>
      </c>
      <c r="AP21" s="2">
        <f>IF(K21&gt;0;K21*AO21;0)</f>
        <v/>
      </c>
      <c r="AQ21" s="2">
        <f>L21-K21-AI21-AE21-IF(AM21&gt;0;AM21;'_Настройки'!$B$9)-AP21-AC21</f>
        <v/>
      </c>
      <c r="AR21" s="3">
        <f>IF(L21&gt;0;AQ21/L21;"")</f>
        <v/>
      </c>
      <c r="AS21" s="3">
        <f>IF(K21&gt;0;AQ21/K21;"")</f>
        <v/>
      </c>
      <c r="AT21" s="2">
        <f>L21-K21-AL21-AE21-IF(AM21&gt;0;AM21;'_Настройки'!$B$9)-AP21-AC21</f>
        <v/>
      </c>
      <c r="AU21" s="3">
        <f>IF(L21&gt;0;AT21/L21;"")</f>
        <v/>
      </c>
      <c r="AV21" s="3">
        <f>IF(K21&gt;0;AT21/K21;"")</f>
        <v/>
      </c>
    </row>
    <row r="22">
      <c r="A22">
        <f>ROW()-1</f>
        <v/>
      </c>
      <c r="K22" s="2">
        <f>IFERROR(INDEX('_Цены_закупки'!$B:$B;MATCH(C22;'_Цены_закупки'!$A:$A;0));"")</f>
        <v/>
      </c>
      <c r="L22" s="2" t="n"/>
      <c r="M22" s="2" t="n"/>
      <c r="N22" s="3">
        <f>IF(AND(M22&gt;0;L22&gt;0);1-L22/M22;"")</f>
        <v/>
      </c>
      <c r="O22" s="2">
        <f>IF(OR(Q22="";K22=0);"";(K22+IF(AM22&gt;0;AM22;'_Настройки'!$B$9)+AP22+AC22+Q22*K22)/(1-AH22-AD22))</f>
        <v/>
      </c>
      <c r="P22" s="2">
        <f>IF(O22="";"";O22-K22-O22*AH22-O22*AD22-IF(AM22&gt;0;AM22;'_Настройки'!$B$9)-AP22-AC22)</f>
        <v/>
      </c>
      <c r="Q22" s="3">
        <f>IF(AND(O22&gt;0;K22&gt;0);P22/K22;"")</f>
        <v/>
      </c>
      <c r="R22" s="2">
        <f>IF(O22="";"";O22-K22-O22*AK22-O22*AD22-IF(AM22&gt;0;AM22;'_Настройки'!$B$9)-AP22-AC22)</f>
        <v/>
      </c>
      <c r="S22" s="3">
        <f>IF(AND(O22&gt;0;K22&gt;0);R22/K22;"")</f>
        <v/>
      </c>
      <c r="T22" s="2" t="n"/>
      <c r="U22" s="3">
        <f>IF(AND(L22&gt;0;T22&gt;0);1-T22/L22;"")</f>
        <v/>
      </c>
      <c r="V22" s="3">
        <f>'_Настройки'!$B$4</f>
        <v/>
      </c>
      <c r="Z22" s="4">
        <f>IF(AND(W22&gt;0;X22&gt;0;Y22&gt;0);W22*X22*Y22/1000;"")</f>
        <v/>
      </c>
      <c r="AB22" s="2">
        <f>('_Настройки'!$B$6+MAX(0;Z22-1)*'_Настройки'!$B$7)*IF(AA22&gt;0;AA22;'_Настройки'!$B$10)</f>
        <v/>
      </c>
      <c r="AC22" s="2">
        <f>AB22*(1+'_Настройки'!$B$8)</f>
        <v/>
      </c>
      <c r="AD22" s="3">
        <f>'_Настройки'!$B$2</f>
        <v/>
      </c>
      <c r="AE22" s="2">
        <f>L22*AD22</f>
        <v/>
      </c>
      <c r="AF22" s="3">
        <f>'_Настройки'!$B$3</f>
        <v/>
      </c>
      <c r="AG22" s="3">
        <f>IFERROR(INDEX('_Комиссия_ВБ'!$B:$B;MATCH(C22;'_Комиссия_ВБ'!$A:$A;0));0,245)</f>
        <v/>
      </c>
      <c r="AH22" s="3">
        <f>AG22+AF22</f>
        <v/>
      </c>
      <c r="AI22" s="2">
        <f>L22*AH22</f>
        <v/>
      </c>
      <c r="AJ22" s="3">
        <f>IFERROR(INDEX('_Комиссия_ВБ'!$C:$C;MATCH(C22;'_Комиссия_ВБ'!$A:$A;0));0,28)</f>
        <v/>
      </c>
      <c r="AK22" s="3">
        <f>AJ22+AF22</f>
        <v/>
      </c>
      <c r="AL22" s="2">
        <f>L22*AK22</f>
        <v/>
      </c>
      <c r="AM22" s="2" t="n"/>
      <c r="AO22" s="3">
        <f>'_Настройки'!$B$5</f>
        <v/>
      </c>
      <c r="AP22" s="2">
        <f>IF(K22&gt;0;K22*AO22;0)</f>
        <v/>
      </c>
      <c r="AQ22" s="2">
        <f>L22-K22-AI22-AE22-IF(AM22&gt;0;AM22;'_Настройки'!$B$9)-AP22-AC22</f>
        <v/>
      </c>
      <c r="AR22" s="3">
        <f>IF(L22&gt;0;AQ22/L22;"")</f>
        <v/>
      </c>
      <c r="AS22" s="3">
        <f>IF(K22&gt;0;AQ22/K22;"")</f>
        <v/>
      </c>
      <c r="AT22" s="2">
        <f>L22-K22-AL22-AE22-IF(AM22&gt;0;AM22;'_Настройки'!$B$9)-AP22-AC22</f>
        <v/>
      </c>
      <c r="AU22" s="3">
        <f>IF(L22&gt;0;AT22/L22;"")</f>
        <v/>
      </c>
      <c r="AV22" s="3">
        <f>IF(K22&gt;0;AT22/K22;"")</f>
        <v/>
      </c>
    </row>
    <row r="23">
      <c r="A23">
        <f>ROW()-1</f>
        <v/>
      </c>
      <c r="K23" s="2">
        <f>IFERROR(INDEX('_Цены_закупки'!$B:$B;MATCH(C23;'_Цены_закупки'!$A:$A;0));"")</f>
        <v/>
      </c>
      <c r="L23" s="2" t="n"/>
      <c r="M23" s="2" t="n"/>
      <c r="N23" s="3">
        <f>IF(AND(M23&gt;0;L23&gt;0);1-L23/M23;"")</f>
        <v/>
      </c>
      <c r="O23" s="2">
        <f>IF(OR(Q23="";K23=0);"";(K23+IF(AM23&gt;0;AM23;'_Настройки'!$B$9)+AP23+AC23+Q23*K23)/(1-AH23-AD23))</f>
        <v/>
      </c>
      <c r="P23" s="2">
        <f>IF(O23="";"";O23-K23-O23*AH23-O23*AD23-IF(AM23&gt;0;AM23;'_Настройки'!$B$9)-AP23-AC23)</f>
        <v/>
      </c>
      <c r="Q23" s="3">
        <f>IF(AND(O23&gt;0;K23&gt;0);P23/K23;"")</f>
        <v/>
      </c>
      <c r="R23" s="2">
        <f>IF(O23="";"";O23-K23-O23*AK23-O23*AD23-IF(AM23&gt;0;AM23;'_Настройки'!$B$9)-AP23-AC23)</f>
        <v/>
      </c>
      <c r="S23" s="3">
        <f>IF(AND(O23&gt;0;K23&gt;0);R23/K23;"")</f>
        <v/>
      </c>
      <c r="T23" s="2" t="n"/>
      <c r="U23" s="3">
        <f>IF(AND(L23&gt;0;T23&gt;0);1-T23/L23;"")</f>
        <v/>
      </c>
      <c r="V23" s="3">
        <f>'_Настройки'!$B$4</f>
        <v/>
      </c>
      <c r="Z23" s="4">
        <f>IF(AND(W23&gt;0;X23&gt;0;Y23&gt;0);W23*X23*Y23/1000;"")</f>
        <v/>
      </c>
      <c r="AB23" s="2">
        <f>('_Настройки'!$B$6+MAX(0;Z23-1)*'_Настройки'!$B$7)*IF(AA23&gt;0;AA23;'_Настройки'!$B$10)</f>
        <v/>
      </c>
      <c r="AC23" s="2">
        <f>AB23*(1+'_Настройки'!$B$8)</f>
        <v/>
      </c>
      <c r="AD23" s="3">
        <f>'_Настройки'!$B$2</f>
        <v/>
      </c>
      <c r="AE23" s="2">
        <f>L23*AD23</f>
        <v/>
      </c>
      <c r="AF23" s="3">
        <f>'_Настройки'!$B$3</f>
        <v/>
      </c>
      <c r="AG23" s="3">
        <f>IFERROR(INDEX('_Комиссия_ВБ'!$B:$B;MATCH(C23;'_Комиссия_ВБ'!$A:$A;0));0,245)</f>
        <v/>
      </c>
      <c r="AH23" s="3">
        <f>AG23+AF23</f>
        <v/>
      </c>
      <c r="AI23" s="2">
        <f>L23*AH23</f>
        <v/>
      </c>
      <c r="AJ23" s="3">
        <f>IFERROR(INDEX('_Комиссия_ВБ'!$C:$C;MATCH(C23;'_Комиссия_ВБ'!$A:$A;0));0,28)</f>
        <v/>
      </c>
      <c r="AK23" s="3">
        <f>AJ23+AF23</f>
        <v/>
      </c>
      <c r="AL23" s="2">
        <f>L23*AK23</f>
        <v/>
      </c>
      <c r="AM23" s="2" t="n"/>
      <c r="AO23" s="3">
        <f>'_Настройки'!$B$5</f>
        <v/>
      </c>
      <c r="AP23" s="2">
        <f>IF(K23&gt;0;K23*AO23;0)</f>
        <v/>
      </c>
      <c r="AQ23" s="2">
        <f>L23-K23-AI23-AE23-IF(AM23&gt;0;AM23;'_Настройки'!$B$9)-AP23-AC23</f>
        <v/>
      </c>
      <c r="AR23" s="3">
        <f>IF(L23&gt;0;AQ23/L23;"")</f>
        <v/>
      </c>
      <c r="AS23" s="3">
        <f>IF(K23&gt;0;AQ23/K23;"")</f>
        <v/>
      </c>
      <c r="AT23" s="2">
        <f>L23-K23-AL23-AE23-IF(AM23&gt;0;AM23;'_Настройки'!$B$9)-AP23-AC23</f>
        <v/>
      </c>
      <c r="AU23" s="3">
        <f>IF(L23&gt;0;AT23/L23;"")</f>
        <v/>
      </c>
      <c r="AV23" s="3">
        <f>IF(K23&gt;0;AT23/K23;"")</f>
        <v/>
      </c>
    </row>
    <row r="24">
      <c r="A24">
        <f>ROW()-1</f>
        <v/>
      </c>
      <c r="K24" s="2">
        <f>IFERROR(INDEX('_Цены_закупки'!$B:$B;MATCH(C24;'_Цены_закупки'!$A:$A;0));"")</f>
        <v/>
      </c>
      <c r="L24" s="2" t="n"/>
      <c r="M24" s="2" t="n"/>
      <c r="N24" s="3">
        <f>IF(AND(M24&gt;0;L24&gt;0);1-L24/M24;"")</f>
        <v/>
      </c>
      <c r="O24" s="2">
        <f>IF(OR(Q24="";K24=0);"";(K24+IF(AM24&gt;0;AM24;'_Настройки'!$B$9)+AP24+AC24+Q24*K24)/(1-AH24-AD24))</f>
        <v/>
      </c>
      <c r="P24" s="2">
        <f>IF(O24="";"";O24-K24-O24*AH24-O24*AD24-IF(AM24&gt;0;AM24;'_Настройки'!$B$9)-AP24-AC24)</f>
        <v/>
      </c>
      <c r="Q24" s="3">
        <f>IF(AND(O24&gt;0;K24&gt;0);P24/K24;"")</f>
        <v/>
      </c>
      <c r="R24" s="2">
        <f>IF(O24="";"";O24-K24-O24*AK24-O24*AD24-IF(AM24&gt;0;AM24;'_Настройки'!$B$9)-AP24-AC24)</f>
        <v/>
      </c>
      <c r="S24" s="3">
        <f>IF(AND(O24&gt;0;K24&gt;0);R24/K24;"")</f>
        <v/>
      </c>
      <c r="T24" s="2" t="n"/>
      <c r="U24" s="3">
        <f>IF(AND(L24&gt;0;T24&gt;0);1-T24/L24;"")</f>
        <v/>
      </c>
      <c r="V24" s="3">
        <f>'_Настройки'!$B$4</f>
        <v/>
      </c>
      <c r="Z24" s="4">
        <f>IF(AND(W24&gt;0;X24&gt;0;Y24&gt;0);W24*X24*Y24/1000;"")</f>
        <v/>
      </c>
      <c r="AB24" s="2">
        <f>('_Настройки'!$B$6+MAX(0;Z24-1)*'_Настройки'!$B$7)*IF(AA24&gt;0;AA24;'_Настройки'!$B$10)</f>
        <v/>
      </c>
      <c r="AC24" s="2">
        <f>AB24*(1+'_Настройки'!$B$8)</f>
        <v/>
      </c>
      <c r="AD24" s="3">
        <f>'_Настройки'!$B$2</f>
        <v/>
      </c>
      <c r="AE24" s="2">
        <f>L24*AD24</f>
        <v/>
      </c>
      <c r="AF24" s="3">
        <f>'_Настройки'!$B$3</f>
        <v/>
      </c>
      <c r="AG24" s="3">
        <f>IFERROR(INDEX('_Комиссия_ВБ'!$B:$B;MATCH(C24;'_Комиссия_ВБ'!$A:$A;0));0,245)</f>
        <v/>
      </c>
      <c r="AH24" s="3">
        <f>AG24+AF24</f>
        <v/>
      </c>
      <c r="AI24" s="2">
        <f>L24*AH24</f>
        <v/>
      </c>
      <c r="AJ24" s="3">
        <f>IFERROR(INDEX('_Комиссия_ВБ'!$C:$C;MATCH(C24;'_Комиссия_ВБ'!$A:$A;0));0,28)</f>
        <v/>
      </c>
      <c r="AK24" s="3">
        <f>AJ24+AF24</f>
        <v/>
      </c>
      <c r="AL24" s="2">
        <f>L24*AK24</f>
        <v/>
      </c>
      <c r="AM24" s="2" t="n"/>
      <c r="AO24" s="3">
        <f>'_Настройки'!$B$5</f>
        <v/>
      </c>
      <c r="AP24" s="2">
        <f>IF(K24&gt;0;K24*AO24;0)</f>
        <v/>
      </c>
      <c r="AQ24" s="2">
        <f>L24-K24-AI24-AE24-IF(AM24&gt;0;AM24;'_Настройки'!$B$9)-AP24-AC24</f>
        <v/>
      </c>
      <c r="AR24" s="3">
        <f>IF(L24&gt;0;AQ24/L24;"")</f>
        <v/>
      </c>
      <c r="AS24" s="3">
        <f>IF(K24&gt;0;AQ24/K24;"")</f>
        <v/>
      </c>
      <c r="AT24" s="2">
        <f>L24-K24-AL24-AE24-IF(AM24&gt;0;AM24;'_Настройки'!$B$9)-AP24-AC24</f>
        <v/>
      </c>
      <c r="AU24" s="3">
        <f>IF(L24&gt;0;AT24/L24;"")</f>
        <v/>
      </c>
      <c r="AV24" s="3">
        <f>IF(K24&gt;0;AT24/K24;"")</f>
        <v/>
      </c>
    </row>
    <row r="25">
      <c r="A25">
        <f>ROW()-1</f>
        <v/>
      </c>
      <c r="K25" s="2">
        <f>IFERROR(INDEX('_Цены_закупки'!$B:$B;MATCH(C25;'_Цены_закупки'!$A:$A;0));"")</f>
        <v/>
      </c>
      <c r="L25" s="2" t="n"/>
      <c r="M25" s="2" t="n"/>
      <c r="N25" s="3">
        <f>IF(AND(M25&gt;0;L25&gt;0);1-L25/M25;"")</f>
        <v/>
      </c>
      <c r="O25" s="2">
        <f>IF(OR(Q25="";K25=0);"";(K25+IF(AM25&gt;0;AM25;'_Настройки'!$B$9)+AP25+AC25+Q25*K25)/(1-AH25-AD25))</f>
        <v/>
      </c>
      <c r="P25" s="2">
        <f>IF(O25="";"";O25-K25-O25*AH25-O25*AD25-IF(AM25&gt;0;AM25;'_Настройки'!$B$9)-AP25-AC25)</f>
        <v/>
      </c>
      <c r="Q25" s="3">
        <f>IF(AND(O25&gt;0;K25&gt;0);P25/K25;"")</f>
        <v/>
      </c>
      <c r="R25" s="2">
        <f>IF(O25="";"";O25-K25-O25*AK25-O25*AD25-IF(AM25&gt;0;AM25;'_Настройки'!$B$9)-AP25-AC25)</f>
        <v/>
      </c>
      <c r="S25" s="3">
        <f>IF(AND(O25&gt;0;K25&gt;0);R25/K25;"")</f>
        <v/>
      </c>
      <c r="T25" s="2" t="n"/>
      <c r="U25" s="3">
        <f>IF(AND(L25&gt;0;T25&gt;0);1-T25/L25;"")</f>
        <v/>
      </c>
      <c r="V25" s="3">
        <f>'_Настройки'!$B$4</f>
        <v/>
      </c>
      <c r="Z25" s="4">
        <f>IF(AND(W25&gt;0;X25&gt;0;Y25&gt;0);W25*X25*Y25/1000;"")</f>
        <v/>
      </c>
      <c r="AB25" s="2">
        <f>('_Настройки'!$B$6+MAX(0;Z25-1)*'_Настройки'!$B$7)*IF(AA25&gt;0;AA25;'_Настройки'!$B$10)</f>
        <v/>
      </c>
      <c r="AC25" s="2">
        <f>AB25*(1+'_Настройки'!$B$8)</f>
        <v/>
      </c>
      <c r="AD25" s="3">
        <f>'_Настройки'!$B$2</f>
        <v/>
      </c>
      <c r="AE25" s="2">
        <f>L25*AD25</f>
        <v/>
      </c>
      <c r="AF25" s="3">
        <f>'_Настройки'!$B$3</f>
        <v/>
      </c>
      <c r="AG25" s="3">
        <f>IFERROR(INDEX('_Комиссия_ВБ'!$B:$B;MATCH(C25;'_Комиссия_ВБ'!$A:$A;0));0,245)</f>
        <v/>
      </c>
      <c r="AH25" s="3">
        <f>AG25+AF25</f>
        <v/>
      </c>
      <c r="AI25" s="2">
        <f>L25*AH25</f>
        <v/>
      </c>
      <c r="AJ25" s="3">
        <f>IFERROR(INDEX('_Комиссия_ВБ'!$C:$C;MATCH(C25;'_Комиссия_ВБ'!$A:$A;0));0,28)</f>
        <v/>
      </c>
      <c r="AK25" s="3">
        <f>AJ25+AF25</f>
        <v/>
      </c>
      <c r="AL25" s="2">
        <f>L25*AK25</f>
        <v/>
      </c>
      <c r="AM25" s="2" t="n"/>
      <c r="AO25" s="3">
        <f>'_Настройки'!$B$5</f>
        <v/>
      </c>
      <c r="AP25" s="2">
        <f>IF(K25&gt;0;K25*AO25;0)</f>
        <v/>
      </c>
      <c r="AQ25" s="2">
        <f>L25-K25-AI25-AE25-IF(AM25&gt;0;AM25;'_Настройки'!$B$9)-AP25-AC25</f>
        <v/>
      </c>
      <c r="AR25" s="3">
        <f>IF(L25&gt;0;AQ25/L25;"")</f>
        <v/>
      </c>
      <c r="AS25" s="3">
        <f>IF(K25&gt;0;AQ25/K25;"")</f>
        <v/>
      </c>
      <c r="AT25" s="2">
        <f>L25-K25-AL25-AE25-IF(AM25&gt;0;AM25;'_Настройки'!$B$9)-AP25-AC25</f>
        <v/>
      </c>
      <c r="AU25" s="3">
        <f>IF(L25&gt;0;AT25/L25;"")</f>
        <v/>
      </c>
      <c r="AV25" s="3">
        <f>IF(K25&gt;0;AT25/K25;"")</f>
        <v/>
      </c>
    </row>
    <row r="26">
      <c r="A26">
        <f>ROW()-1</f>
        <v/>
      </c>
      <c r="K26" s="2">
        <f>IFERROR(INDEX('_Цены_закупки'!$B:$B;MATCH(C26;'_Цены_закупки'!$A:$A;0));"")</f>
        <v/>
      </c>
      <c r="L26" s="2" t="n"/>
      <c r="M26" s="2" t="n"/>
      <c r="N26" s="3">
        <f>IF(AND(M26&gt;0;L26&gt;0);1-L26/M26;"")</f>
        <v/>
      </c>
      <c r="O26" s="2">
        <f>IF(OR(Q26="";K26=0);"";(K26+IF(AM26&gt;0;AM26;'_Настройки'!$B$9)+AP26+AC26+Q26*K26)/(1-AH26-AD26))</f>
        <v/>
      </c>
      <c r="P26" s="2">
        <f>IF(O26="";"";O26-K26-O26*AH26-O26*AD26-IF(AM26&gt;0;AM26;'_Настройки'!$B$9)-AP26-AC26)</f>
        <v/>
      </c>
      <c r="Q26" s="3">
        <f>IF(AND(O26&gt;0;K26&gt;0);P26/K26;"")</f>
        <v/>
      </c>
      <c r="R26" s="2">
        <f>IF(O26="";"";O26-K26-O26*AK26-O26*AD26-IF(AM26&gt;0;AM26;'_Настройки'!$B$9)-AP26-AC26)</f>
        <v/>
      </c>
      <c r="S26" s="3">
        <f>IF(AND(O26&gt;0;K26&gt;0);R26/K26;"")</f>
        <v/>
      </c>
      <c r="T26" s="2" t="n"/>
      <c r="U26" s="3">
        <f>IF(AND(L26&gt;0;T26&gt;0);1-T26/L26;"")</f>
        <v/>
      </c>
      <c r="V26" s="3">
        <f>'_Настройки'!$B$4</f>
        <v/>
      </c>
      <c r="Z26" s="4">
        <f>IF(AND(W26&gt;0;X26&gt;0;Y26&gt;0);W26*X26*Y26/1000;"")</f>
        <v/>
      </c>
      <c r="AB26" s="2">
        <f>('_Настройки'!$B$6+MAX(0;Z26-1)*'_Настройки'!$B$7)*IF(AA26&gt;0;AA26;'_Настройки'!$B$10)</f>
        <v/>
      </c>
      <c r="AC26" s="2">
        <f>AB26*(1+'_Настройки'!$B$8)</f>
        <v/>
      </c>
      <c r="AD26" s="3">
        <f>'_Настройки'!$B$2</f>
        <v/>
      </c>
      <c r="AE26" s="2">
        <f>L26*AD26</f>
        <v/>
      </c>
      <c r="AF26" s="3">
        <f>'_Настройки'!$B$3</f>
        <v/>
      </c>
      <c r="AG26" s="3">
        <f>IFERROR(INDEX('_Комиссия_ВБ'!$B:$B;MATCH(C26;'_Комиссия_ВБ'!$A:$A;0));0,245)</f>
        <v/>
      </c>
      <c r="AH26" s="3">
        <f>AG26+AF26</f>
        <v/>
      </c>
      <c r="AI26" s="2">
        <f>L26*AH26</f>
        <v/>
      </c>
      <c r="AJ26" s="3">
        <f>IFERROR(INDEX('_Комиссия_ВБ'!$C:$C;MATCH(C26;'_Комиссия_ВБ'!$A:$A;0));0,28)</f>
        <v/>
      </c>
      <c r="AK26" s="3">
        <f>AJ26+AF26</f>
        <v/>
      </c>
      <c r="AL26" s="2">
        <f>L26*AK26</f>
        <v/>
      </c>
      <c r="AM26" s="2" t="n"/>
      <c r="AO26" s="3">
        <f>'_Настройки'!$B$5</f>
        <v/>
      </c>
      <c r="AP26" s="2">
        <f>IF(K26&gt;0;K26*AO26;0)</f>
        <v/>
      </c>
      <c r="AQ26" s="2">
        <f>L26-K26-AI26-AE26-IF(AM26&gt;0;AM26;'_Настройки'!$B$9)-AP26-AC26</f>
        <v/>
      </c>
      <c r="AR26" s="3">
        <f>IF(L26&gt;0;AQ26/L26;"")</f>
        <v/>
      </c>
      <c r="AS26" s="3">
        <f>IF(K26&gt;0;AQ26/K26;"")</f>
        <v/>
      </c>
      <c r="AT26" s="2">
        <f>L26-K26-AL26-AE26-IF(AM26&gt;0;AM26;'_Настройки'!$B$9)-AP26-AC26</f>
        <v/>
      </c>
      <c r="AU26" s="3">
        <f>IF(L26&gt;0;AT26/L26;"")</f>
        <v/>
      </c>
      <c r="AV26" s="3">
        <f>IF(K26&gt;0;AT26/K26;"")</f>
        <v/>
      </c>
    </row>
    <row r="27">
      <c r="A27">
        <f>ROW()-1</f>
        <v/>
      </c>
      <c r="K27" s="2">
        <f>IFERROR(INDEX('_Цены_закупки'!$B:$B;MATCH(C27;'_Цены_закупки'!$A:$A;0));"")</f>
        <v/>
      </c>
      <c r="L27" s="2" t="n"/>
      <c r="M27" s="2" t="n"/>
      <c r="N27" s="3">
        <f>IF(AND(M27&gt;0;L27&gt;0);1-L27/M27;"")</f>
        <v/>
      </c>
      <c r="O27" s="2">
        <f>IF(OR(Q27="";K27=0);"";(K27+IF(AM27&gt;0;AM27;'_Настройки'!$B$9)+AP27+AC27+Q27*K27)/(1-AH27-AD27))</f>
        <v/>
      </c>
      <c r="P27" s="2">
        <f>IF(O27="";"";O27-K27-O27*AH27-O27*AD27-IF(AM27&gt;0;AM27;'_Настройки'!$B$9)-AP27-AC27)</f>
        <v/>
      </c>
      <c r="Q27" s="3">
        <f>IF(AND(O27&gt;0;K27&gt;0);P27/K27;"")</f>
        <v/>
      </c>
      <c r="R27" s="2">
        <f>IF(O27="";"";O27-K27-O27*AK27-O27*AD27-IF(AM27&gt;0;AM27;'_Настройки'!$B$9)-AP27-AC27)</f>
        <v/>
      </c>
      <c r="S27" s="3">
        <f>IF(AND(O27&gt;0;K27&gt;0);R27/K27;"")</f>
        <v/>
      </c>
      <c r="T27" s="2" t="n"/>
      <c r="U27" s="3">
        <f>IF(AND(L27&gt;0;T27&gt;0);1-T27/L27;"")</f>
        <v/>
      </c>
      <c r="V27" s="3">
        <f>'_Настройки'!$B$4</f>
        <v/>
      </c>
      <c r="Z27" s="4">
        <f>IF(AND(W27&gt;0;X27&gt;0;Y27&gt;0);W27*X27*Y27/1000;"")</f>
        <v/>
      </c>
      <c r="AB27" s="2">
        <f>('_Настройки'!$B$6+MAX(0;Z27-1)*'_Настройки'!$B$7)*IF(AA27&gt;0;AA27;'_Настройки'!$B$10)</f>
        <v/>
      </c>
      <c r="AC27" s="2">
        <f>AB27*(1+'_Настройки'!$B$8)</f>
        <v/>
      </c>
      <c r="AD27" s="3">
        <f>'_Настройки'!$B$2</f>
        <v/>
      </c>
      <c r="AE27" s="2">
        <f>L27*AD27</f>
        <v/>
      </c>
      <c r="AF27" s="3">
        <f>'_Настройки'!$B$3</f>
        <v/>
      </c>
      <c r="AG27" s="3">
        <f>IFERROR(INDEX('_Комиссия_ВБ'!$B:$B;MATCH(C27;'_Комиссия_ВБ'!$A:$A;0));0,245)</f>
        <v/>
      </c>
      <c r="AH27" s="3">
        <f>AG27+AF27</f>
        <v/>
      </c>
      <c r="AI27" s="2">
        <f>L27*AH27</f>
        <v/>
      </c>
      <c r="AJ27" s="3">
        <f>IFERROR(INDEX('_Комиссия_ВБ'!$C:$C;MATCH(C27;'_Комиссия_ВБ'!$A:$A;0));0,28)</f>
        <v/>
      </c>
      <c r="AK27" s="3">
        <f>AJ27+AF27</f>
        <v/>
      </c>
      <c r="AL27" s="2">
        <f>L27*AK27</f>
        <v/>
      </c>
      <c r="AM27" s="2" t="n"/>
      <c r="AO27" s="3">
        <f>'_Настройки'!$B$5</f>
        <v/>
      </c>
      <c r="AP27" s="2">
        <f>IF(K27&gt;0;K27*AO27;0)</f>
        <v/>
      </c>
      <c r="AQ27" s="2">
        <f>L27-K27-AI27-AE27-IF(AM27&gt;0;AM27;'_Настройки'!$B$9)-AP27-AC27</f>
        <v/>
      </c>
      <c r="AR27" s="3">
        <f>IF(L27&gt;0;AQ27/L27;"")</f>
        <v/>
      </c>
      <c r="AS27" s="3">
        <f>IF(K27&gt;0;AQ27/K27;"")</f>
        <v/>
      </c>
      <c r="AT27" s="2">
        <f>L27-K27-AL27-AE27-IF(AM27&gt;0;AM27;'_Настройки'!$B$9)-AP27-AC27</f>
        <v/>
      </c>
      <c r="AU27" s="3">
        <f>IF(L27&gt;0;AT27/L27;"")</f>
        <v/>
      </c>
      <c r="AV27" s="3">
        <f>IF(K27&gt;0;AT27/K27;"")</f>
        <v/>
      </c>
    </row>
    <row r="28">
      <c r="A28">
        <f>ROW()-1</f>
        <v/>
      </c>
      <c r="K28" s="2">
        <f>IFERROR(INDEX('_Цены_закупки'!$B:$B;MATCH(C28;'_Цены_закупки'!$A:$A;0));"")</f>
        <v/>
      </c>
      <c r="L28" s="2" t="n"/>
      <c r="M28" s="2" t="n"/>
      <c r="N28" s="3">
        <f>IF(AND(M28&gt;0;L28&gt;0);1-L28/M28;"")</f>
        <v/>
      </c>
      <c r="O28" s="2">
        <f>IF(OR(Q28="";K28=0);"";(K28+IF(AM28&gt;0;AM28;'_Настройки'!$B$9)+AP28+AC28+Q28*K28)/(1-AH28-AD28))</f>
        <v/>
      </c>
      <c r="P28" s="2">
        <f>IF(O28="";"";O28-K28-O28*AH28-O28*AD28-IF(AM28&gt;0;AM28;'_Настройки'!$B$9)-AP28-AC28)</f>
        <v/>
      </c>
      <c r="Q28" s="3">
        <f>IF(AND(O28&gt;0;K28&gt;0);P28/K28;"")</f>
        <v/>
      </c>
      <c r="R28" s="2">
        <f>IF(O28="";"";O28-K28-O28*AK28-O28*AD28-IF(AM28&gt;0;AM28;'_Настройки'!$B$9)-AP28-AC28)</f>
        <v/>
      </c>
      <c r="S28" s="3">
        <f>IF(AND(O28&gt;0;K28&gt;0);R28/K28;"")</f>
        <v/>
      </c>
      <c r="T28" s="2" t="n"/>
      <c r="U28" s="3">
        <f>IF(AND(L28&gt;0;T28&gt;0);1-T28/L28;"")</f>
        <v/>
      </c>
      <c r="V28" s="3">
        <f>'_Настройки'!$B$4</f>
        <v/>
      </c>
      <c r="Z28" s="4">
        <f>IF(AND(W28&gt;0;X28&gt;0;Y28&gt;0);W28*X28*Y28/1000;"")</f>
        <v/>
      </c>
      <c r="AB28" s="2">
        <f>('_Настройки'!$B$6+MAX(0;Z28-1)*'_Настройки'!$B$7)*IF(AA28&gt;0;AA28;'_Настройки'!$B$10)</f>
        <v/>
      </c>
      <c r="AC28" s="2">
        <f>AB28*(1+'_Настройки'!$B$8)</f>
        <v/>
      </c>
      <c r="AD28" s="3">
        <f>'_Настройки'!$B$2</f>
        <v/>
      </c>
      <c r="AE28" s="2">
        <f>L28*AD28</f>
        <v/>
      </c>
      <c r="AF28" s="3">
        <f>'_Настройки'!$B$3</f>
        <v/>
      </c>
      <c r="AG28" s="3">
        <f>IFERROR(INDEX('_Комиссия_ВБ'!$B:$B;MATCH(C28;'_Комиссия_ВБ'!$A:$A;0));0,245)</f>
        <v/>
      </c>
      <c r="AH28" s="3">
        <f>AG28+AF28</f>
        <v/>
      </c>
      <c r="AI28" s="2">
        <f>L28*AH28</f>
        <v/>
      </c>
      <c r="AJ28" s="3">
        <f>IFERROR(INDEX('_Комиссия_ВБ'!$C:$C;MATCH(C28;'_Комиссия_ВБ'!$A:$A;0));0,28)</f>
        <v/>
      </c>
      <c r="AK28" s="3">
        <f>AJ28+AF28</f>
        <v/>
      </c>
      <c r="AL28" s="2">
        <f>L28*AK28</f>
        <v/>
      </c>
      <c r="AM28" s="2" t="n"/>
      <c r="AO28" s="3">
        <f>'_Настройки'!$B$5</f>
        <v/>
      </c>
      <c r="AP28" s="2">
        <f>IF(K28&gt;0;K28*AO28;0)</f>
        <v/>
      </c>
      <c r="AQ28" s="2">
        <f>L28-K28-AI28-AE28-IF(AM28&gt;0;AM28;'_Настройки'!$B$9)-AP28-AC28</f>
        <v/>
      </c>
      <c r="AR28" s="3">
        <f>IF(L28&gt;0;AQ28/L28;"")</f>
        <v/>
      </c>
      <c r="AS28" s="3">
        <f>IF(K28&gt;0;AQ28/K28;"")</f>
        <v/>
      </c>
      <c r="AT28" s="2">
        <f>L28-K28-AL28-AE28-IF(AM28&gt;0;AM28;'_Настройки'!$B$9)-AP28-AC28</f>
        <v/>
      </c>
      <c r="AU28" s="3">
        <f>IF(L28&gt;0;AT28/L28;"")</f>
        <v/>
      </c>
      <c r="AV28" s="3">
        <f>IF(K28&gt;0;AT28/K28;"")</f>
        <v/>
      </c>
    </row>
    <row r="29">
      <c r="A29">
        <f>ROW()-1</f>
        <v/>
      </c>
      <c r="K29" s="2">
        <f>IFERROR(INDEX('_Цены_закупки'!$B:$B;MATCH(C29;'_Цены_закупки'!$A:$A;0));"")</f>
        <v/>
      </c>
      <c r="L29" s="2" t="n"/>
      <c r="M29" s="2" t="n"/>
      <c r="N29" s="3">
        <f>IF(AND(M29&gt;0;L29&gt;0);1-L29/M29;"")</f>
        <v/>
      </c>
      <c r="O29" s="2">
        <f>IF(OR(Q29="";K29=0);"";(K29+IF(AM29&gt;0;AM29;'_Настройки'!$B$9)+AP29+AC29+Q29*K29)/(1-AH29-AD29))</f>
        <v/>
      </c>
      <c r="P29" s="2">
        <f>IF(O29="";"";O29-K29-O29*AH29-O29*AD29-IF(AM29&gt;0;AM29;'_Настройки'!$B$9)-AP29-AC29)</f>
        <v/>
      </c>
      <c r="Q29" s="3">
        <f>IF(AND(O29&gt;0;K29&gt;0);P29/K29;"")</f>
        <v/>
      </c>
      <c r="R29" s="2">
        <f>IF(O29="";"";O29-K29-O29*AK29-O29*AD29-IF(AM29&gt;0;AM29;'_Настройки'!$B$9)-AP29-AC29)</f>
        <v/>
      </c>
      <c r="S29" s="3">
        <f>IF(AND(O29&gt;0;K29&gt;0);R29/K29;"")</f>
        <v/>
      </c>
      <c r="T29" s="2" t="n"/>
      <c r="U29" s="3">
        <f>IF(AND(L29&gt;0;T29&gt;0);1-T29/L29;"")</f>
        <v/>
      </c>
      <c r="V29" s="3">
        <f>'_Настройки'!$B$4</f>
        <v/>
      </c>
      <c r="Z29" s="4">
        <f>IF(AND(W29&gt;0;X29&gt;0;Y29&gt;0);W29*X29*Y29/1000;"")</f>
        <v/>
      </c>
      <c r="AB29" s="2">
        <f>('_Настройки'!$B$6+MAX(0;Z29-1)*'_Настройки'!$B$7)*IF(AA29&gt;0;AA29;'_Настройки'!$B$10)</f>
        <v/>
      </c>
      <c r="AC29" s="2">
        <f>AB29*(1+'_Настройки'!$B$8)</f>
        <v/>
      </c>
      <c r="AD29" s="3">
        <f>'_Настройки'!$B$2</f>
        <v/>
      </c>
      <c r="AE29" s="2">
        <f>L29*AD29</f>
        <v/>
      </c>
      <c r="AF29" s="3">
        <f>'_Настройки'!$B$3</f>
        <v/>
      </c>
      <c r="AG29" s="3">
        <f>IFERROR(INDEX('_Комиссия_ВБ'!$B:$B;MATCH(C29;'_Комиссия_ВБ'!$A:$A;0));0,245)</f>
        <v/>
      </c>
      <c r="AH29" s="3">
        <f>AG29+AF29</f>
        <v/>
      </c>
      <c r="AI29" s="2">
        <f>L29*AH29</f>
        <v/>
      </c>
      <c r="AJ29" s="3">
        <f>IFERROR(INDEX('_Комиссия_ВБ'!$C:$C;MATCH(C29;'_Комиссия_ВБ'!$A:$A;0));0,28)</f>
        <v/>
      </c>
      <c r="AK29" s="3">
        <f>AJ29+AF29</f>
        <v/>
      </c>
      <c r="AL29" s="2">
        <f>L29*AK29</f>
        <v/>
      </c>
      <c r="AM29" s="2" t="n"/>
      <c r="AO29" s="3">
        <f>'_Настройки'!$B$5</f>
        <v/>
      </c>
      <c r="AP29" s="2">
        <f>IF(K29&gt;0;K29*AO29;0)</f>
        <v/>
      </c>
      <c r="AQ29" s="2">
        <f>L29-K29-AI29-AE29-IF(AM29&gt;0;AM29;'_Настройки'!$B$9)-AP29-AC29</f>
        <v/>
      </c>
      <c r="AR29" s="3">
        <f>IF(L29&gt;0;AQ29/L29;"")</f>
        <v/>
      </c>
      <c r="AS29" s="3">
        <f>IF(K29&gt;0;AQ29/K29;"")</f>
        <v/>
      </c>
      <c r="AT29" s="2">
        <f>L29-K29-AL29-AE29-IF(AM29&gt;0;AM29;'_Настройки'!$B$9)-AP29-AC29</f>
        <v/>
      </c>
      <c r="AU29" s="3">
        <f>IF(L29&gt;0;AT29/L29;"")</f>
        <v/>
      </c>
      <c r="AV29" s="3">
        <f>IF(K29&gt;0;AT29/K29;"")</f>
        <v/>
      </c>
    </row>
    <row r="30">
      <c r="A30">
        <f>ROW()-1</f>
        <v/>
      </c>
      <c r="K30" s="2">
        <f>IFERROR(INDEX('_Цены_закупки'!$B:$B;MATCH(C30;'_Цены_закупки'!$A:$A;0));"")</f>
        <v/>
      </c>
      <c r="L30" s="2" t="n"/>
      <c r="M30" s="2" t="n"/>
      <c r="N30" s="3">
        <f>IF(AND(M30&gt;0;L30&gt;0);1-L30/M30;"")</f>
        <v/>
      </c>
      <c r="O30" s="2">
        <f>IF(OR(Q30="";K30=0);"";(K30+IF(AM30&gt;0;AM30;'_Настройки'!$B$9)+AP30+AC30+Q30*K30)/(1-AH30-AD30))</f>
        <v/>
      </c>
      <c r="P30" s="2">
        <f>IF(O30="";"";O30-K30-O30*AH30-O30*AD30-IF(AM30&gt;0;AM30;'_Настройки'!$B$9)-AP30-AC30)</f>
        <v/>
      </c>
      <c r="Q30" s="3">
        <f>IF(AND(O30&gt;0;K30&gt;0);P30/K30;"")</f>
        <v/>
      </c>
      <c r="R30" s="2">
        <f>IF(O30="";"";O30-K30-O30*AK30-O30*AD30-IF(AM30&gt;0;AM30;'_Настройки'!$B$9)-AP30-AC30)</f>
        <v/>
      </c>
      <c r="S30" s="3">
        <f>IF(AND(O30&gt;0;K30&gt;0);R30/K30;"")</f>
        <v/>
      </c>
      <c r="T30" s="2" t="n"/>
      <c r="U30" s="3">
        <f>IF(AND(L30&gt;0;T30&gt;0);1-T30/L30;"")</f>
        <v/>
      </c>
      <c r="V30" s="3">
        <f>'_Настройки'!$B$4</f>
        <v/>
      </c>
      <c r="Z30" s="4">
        <f>IF(AND(W30&gt;0;X30&gt;0;Y30&gt;0);W30*X30*Y30/1000;"")</f>
        <v/>
      </c>
      <c r="AB30" s="2">
        <f>('_Настройки'!$B$6+MAX(0;Z30-1)*'_Настройки'!$B$7)*IF(AA30&gt;0;AA30;'_Настройки'!$B$10)</f>
        <v/>
      </c>
      <c r="AC30" s="2">
        <f>AB30*(1+'_Настройки'!$B$8)</f>
        <v/>
      </c>
      <c r="AD30" s="3">
        <f>'_Настройки'!$B$2</f>
        <v/>
      </c>
      <c r="AE30" s="2">
        <f>L30*AD30</f>
        <v/>
      </c>
      <c r="AF30" s="3">
        <f>'_Настройки'!$B$3</f>
        <v/>
      </c>
      <c r="AG30" s="3">
        <f>IFERROR(INDEX('_Комиссия_ВБ'!$B:$B;MATCH(C30;'_Комиссия_ВБ'!$A:$A;0));0,245)</f>
        <v/>
      </c>
      <c r="AH30" s="3">
        <f>AG30+AF30</f>
        <v/>
      </c>
      <c r="AI30" s="2">
        <f>L30*AH30</f>
        <v/>
      </c>
      <c r="AJ30" s="3">
        <f>IFERROR(INDEX('_Комиссия_ВБ'!$C:$C;MATCH(C30;'_Комиссия_ВБ'!$A:$A;0));0,28)</f>
        <v/>
      </c>
      <c r="AK30" s="3">
        <f>AJ30+AF30</f>
        <v/>
      </c>
      <c r="AL30" s="2">
        <f>L30*AK30</f>
        <v/>
      </c>
      <c r="AM30" s="2" t="n"/>
      <c r="AO30" s="3">
        <f>'_Настройки'!$B$5</f>
        <v/>
      </c>
      <c r="AP30" s="2">
        <f>IF(K30&gt;0;K30*AO30;0)</f>
        <v/>
      </c>
      <c r="AQ30" s="2">
        <f>L30-K30-AI30-AE30-IF(AM30&gt;0;AM30;'_Настройки'!$B$9)-AP30-AC30</f>
        <v/>
      </c>
      <c r="AR30" s="3">
        <f>IF(L30&gt;0;AQ30/L30;"")</f>
        <v/>
      </c>
      <c r="AS30" s="3">
        <f>IF(K30&gt;0;AQ30/K30;"")</f>
        <v/>
      </c>
      <c r="AT30" s="2">
        <f>L30-K30-AL30-AE30-IF(AM30&gt;0;AM30;'_Настройки'!$B$9)-AP30-AC30</f>
        <v/>
      </c>
      <c r="AU30" s="3">
        <f>IF(L30&gt;0;AT30/L30;"")</f>
        <v/>
      </c>
      <c r="AV30" s="3">
        <f>IF(K30&gt;0;AT30/K30;"")</f>
        <v/>
      </c>
    </row>
    <row r="31">
      <c r="A31">
        <f>ROW()-1</f>
        <v/>
      </c>
      <c r="K31" s="2">
        <f>IFERROR(INDEX('_Цены_закупки'!$B:$B;MATCH(C31;'_Цены_закупки'!$A:$A;0));"")</f>
        <v/>
      </c>
      <c r="L31" s="2" t="n"/>
      <c r="M31" s="2" t="n"/>
      <c r="N31" s="3">
        <f>IF(AND(M31&gt;0;L31&gt;0);1-L31/M31;"")</f>
        <v/>
      </c>
      <c r="O31" s="2">
        <f>IF(OR(Q31="";K31=0);"";(K31+IF(AM31&gt;0;AM31;'_Настройки'!$B$9)+AP31+AC31+Q31*K31)/(1-AH31-AD31))</f>
        <v/>
      </c>
      <c r="P31" s="2">
        <f>IF(O31="";"";O31-K31-O31*AH31-O31*AD31-IF(AM31&gt;0;AM31;'_Настройки'!$B$9)-AP31-AC31)</f>
        <v/>
      </c>
      <c r="Q31" s="3">
        <f>IF(AND(O31&gt;0;K31&gt;0);P31/K31;"")</f>
        <v/>
      </c>
      <c r="R31" s="2">
        <f>IF(O31="";"";O31-K31-O31*AK31-O31*AD31-IF(AM31&gt;0;AM31;'_Настройки'!$B$9)-AP31-AC31)</f>
        <v/>
      </c>
      <c r="S31" s="3">
        <f>IF(AND(O31&gt;0;K31&gt;0);R31/K31;"")</f>
        <v/>
      </c>
      <c r="T31" s="2" t="n"/>
      <c r="U31" s="3">
        <f>IF(AND(L31&gt;0;T31&gt;0);1-T31/L31;"")</f>
        <v/>
      </c>
      <c r="V31" s="3">
        <f>'_Настройки'!$B$4</f>
        <v/>
      </c>
      <c r="Z31" s="4">
        <f>IF(AND(W31&gt;0;X31&gt;0;Y31&gt;0);W31*X31*Y31/1000;"")</f>
        <v/>
      </c>
      <c r="AB31" s="2">
        <f>('_Настройки'!$B$6+MAX(0;Z31-1)*'_Настройки'!$B$7)*IF(AA31&gt;0;AA31;'_Настройки'!$B$10)</f>
        <v/>
      </c>
      <c r="AC31" s="2">
        <f>AB31*(1+'_Настройки'!$B$8)</f>
        <v/>
      </c>
      <c r="AD31" s="3">
        <f>'_Настройки'!$B$2</f>
        <v/>
      </c>
      <c r="AE31" s="2">
        <f>L31*AD31</f>
        <v/>
      </c>
      <c r="AF31" s="3">
        <f>'_Настройки'!$B$3</f>
        <v/>
      </c>
      <c r="AG31" s="3">
        <f>IFERROR(INDEX('_Комиссия_ВБ'!$B:$B;MATCH(C31;'_Комиссия_ВБ'!$A:$A;0));0,245)</f>
        <v/>
      </c>
      <c r="AH31" s="3">
        <f>AG31+AF31</f>
        <v/>
      </c>
      <c r="AI31" s="2">
        <f>L31*AH31</f>
        <v/>
      </c>
      <c r="AJ31" s="3">
        <f>IFERROR(INDEX('_Комиссия_ВБ'!$C:$C;MATCH(C31;'_Комиссия_ВБ'!$A:$A;0));0,28)</f>
        <v/>
      </c>
      <c r="AK31" s="3">
        <f>AJ31+AF31</f>
        <v/>
      </c>
      <c r="AL31" s="2">
        <f>L31*AK31</f>
        <v/>
      </c>
      <c r="AM31" s="2" t="n"/>
      <c r="AO31" s="3">
        <f>'_Настройки'!$B$5</f>
        <v/>
      </c>
      <c r="AP31" s="2">
        <f>IF(K31&gt;0;K31*AO31;0)</f>
        <v/>
      </c>
      <c r="AQ31" s="2">
        <f>L31-K31-AI31-AE31-IF(AM31&gt;0;AM31;'_Настройки'!$B$9)-AP31-AC31</f>
        <v/>
      </c>
      <c r="AR31" s="3">
        <f>IF(L31&gt;0;AQ31/L31;"")</f>
        <v/>
      </c>
      <c r="AS31" s="3">
        <f>IF(K31&gt;0;AQ31/K31;"")</f>
        <v/>
      </c>
      <c r="AT31" s="2">
        <f>L31-K31-AL31-AE31-IF(AM31&gt;0;AM31;'_Настройки'!$B$9)-AP31-AC31</f>
        <v/>
      </c>
      <c r="AU31" s="3">
        <f>IF(L31&gt;0;AT31/L31;"")</f>
        <v/>
      </c>
      <c r="AV31" s="3">
        <f>IF(K31&gt;0;AT31/K31;"")</f>
        <v/>
      </c>
    </row>
    <row r="32">
      <c r="A32">
        <f>ROW()-1</f>
        <v/>
      </c>
      <c r="K32" s="2">
        <f>IFERROR(INDEX('_Цены_закупки'!$B:$B;MATCH(C32;'_Цены_закупки'!$A:$A;0));"")</f>
        <v/>
      </c>
      <c r="L32" s="2" t="n"/>
      <c r="M32" s="2" t="n"/>
      <c r="N32" s="3">
        <f>IF(AND(M32&gt;0;L32&gt;0);1-L32/M32;"")</f>
        <v/>
      </c>
      <c r="O32" s="2">
        <f>IF(OR(Q32="";K32=0);"";(K32+IF(AM32&gt;0;AM32;'_Настройки'!$B$9)+AP32+AC32+Q32*K32)/(1-AH32-AD32))</f>
        <v/>
      </c>
      <c r="P32" s="2">
        <f>IF(O32="";"";O32-K32-O32*AH32-O32*AD32-IF(AM32&gt;0;AM32;'_Настройки'!$B$9)-AP32-AC32)</f>
        <v/>
      </c>
      <c r="Q32" s="3">
        <f>IF(AND(O32&gt;0;K32&gt;0);P32/K32;"")</f>
        <v/>
      </c>
      <c r="R32" s="2">
        <f>IF(O32="";"";O32-K32-O32*AK32-O32*AD32-IF(AM32&gt;0;AM32;'_Настройки'!$B$9)-AP32-AC32)</f>
        <v/>
      </c>
      <c r="S32" s="3">
        <f>IF(AND(O32&gt;0;K32&gt;0);R32/K32;"")</f>
        <v/>
      </c>
      <c r="T32" s="2" t="n"/>
      <c r="U32" s="3">
        <f>IF(AND(L32&gt;0;T32&gt;0);1-T32/L32;"")</f>
        <v/>
      </c>
      <c r="V32" s="3">
        <f>'_Настройки'!$B$4</f>
        <v/>
      </c>
      <c r="Z32" s="4">
        <f>IF(AND(W32&gt;0;X32&gt;0;Y32&gt;0);W32*X32*Y32/1000;"")</f>
        <v/>
      </c>
      <c r="AB32" s="2">
        <f>('_Настройки'!$B$6+MAX(0;Z32-1)*'_Настройки'!$B$7)*IF(AA32&gt;0;AA32;'_Настройки'!$B$10)</f>
        <v/>
      </c>
      <c r="AC32" s="2">
        <f>AB32*(1+'_Настройки'!$B$8)</f>
        <v/>
      </c>
      <c r="AD32" s="3">
        <f>'_Настройки'!$B$2</f>
        <v/>
      </c>
      <c r="AE32" s="2">
        <f>L32*AD32</f>
        <v/>
      </c>
      <c r="AF32" s="3">
        <f>'_Настройки'!$B$3</f>
        <v/>
      </c>
      <c r="AG32" s="3">
        <f>IFERROR(INDEX('_Комиссия_ВБ'!$B:$B;MATCH(C32;'_Комиссия_ВБ'!$A:$A;0));0,245)</f>
        <v/>
      </c>
      <c r="AH32" s="3">
        <f>AG32+AF32</f>
        <v/>
      </c>
      <c r="AI32" s="2">
        <f>L32*AH32</f>
        <v/>
      </c>
      <c r="AJ32" s="3">
        <f>IFERROR(INDEX('_Комиссия_ВБ'!$C:$C;MATCH(C32;'_Комиссия_ВБ'!$A:$A;0));0,28)</f>
        <v/>
      </c>
      <c r="AK32" s="3">
        <f>AJ32+AF32</f>
        <v/>
      </c>
      <c r="AL32" s="2">
        <f>L32*AK32</f>
        <v/>
      </c>
      <c r="AM32" s="2" t="n"/>
      <c r="AO32" s="3">
        <f>'_Настройки'!$B$5</f>
        <v/>
      </c>
      <c r="AP32" s="2">
        <f>IF(K32&gt;0;K32*AO32;0)</f>
        <v/>
      </c>
      <c r="AQ32" s="2">
        <f>L32-K32-AI32-AE32-IF(AM32&gt;0;AM32;'_Настройки'!$B$9)-AP32-AC32</f>
        <v/>
      </c>
      <c r="AR32" s="3">
        <f>IF(L32&gt;0;AQ32/L32;"")</f>
        <v/>
      </c>
      <c r="AS32" s="3">
        <f>IF(K32&gt;0;AQ32/K32;"")</f>
        <v/>
      </c>
      <c r="AT32" s="2">
        <f>L32-K32-AL32-AE32-IF(AM32&gt;0;AM32;'_Настройки'!$B$9)-AP32-AC32</f>
        <v/>
      </c>
      <c r="AU32" s="3">
        <f>IF(L32&gt;0;AT32/L32;"")</f>
        <v/>
      </c>
      <c r="AV32" s="3">
        <f>IF(K32&gt;0;AT32/K32;"")</f>
        <v/>
      </c>
    </row>
    <row r="33">
      <c r="A33">
        <f>ROW()-1</f>
        <v/>
      </c>
      <c r="K33" s="2">
        <f>IFERROR(INDEX('_Цены_закупки'!$B:$B;MATCH(C33;'_Цены_закупки'!$A:$A;0));"")</f>
        <v/>
      </c>
      <c r="L33" s="2" t="n"/>
      <c r="M33" s="2" t="n"/>
      <c r="N33" s="3">
        <f>IF(AND(M33&gt;0;L33&gt;0);1-L33/M33;"")</f>
        <v/>
      </c>
      <c r="O33" s="2">
        <f>IF(OR(Q33="";K33=0);"";(K33+IF(AM33&gt;0;AM33;'_Настройки'!$B$9)+AP33+AC33+Q33*K33)/(1-AH33-AD33))</f>
        <v/>
      </c>
      <c r="P33" s="2">
        <f>IF(O33="";"";O33-K33-O33*AH33-O33*AD33-IF(AM33&gt;0;AM33;'_Настройки'!$B$9)-AP33-AC33)</f>
        <v/>
      </c>
      <c r="Q33" s="3">
        <f>IF(AND(O33&gt;0;K33&gt;0);P33/K33;"")</f>
        <v/>
      </c>
      <c r="R33" s="2">
        <f>IF(O33="";"";O33-K33-O33*AK33-O33*AD33-IF(AM33&gt;0;AM33;'_Настройки'!$B$9)-AP33-AC33)</f>
        <v/>
      </c>
      <c r="S33" s="3">
        <f>IF(AND(O33&gt;0;K33&gt;0);R33/K33;"")</f>
        <v/>
      </c>
      <c r="T33" s="2" t="n"/>
      <c r="U33" s="3">
        <f>IF(AND(L33&gt;0;T33&gt;0);1-T33/L33;"")</f>
        <v/>
      </c>
      <c r="V33" s="3">
        <f>'_Настройки'!$B$4</f>
        <v/>
      </c>
      <c r="Z33" s="4">
        <f>IF(AND(W33&gt;0;X33&gt;0;Y33&gt;0);W33*X33*Y33/1000;"")</f>
        <v/>
      </c>
      <c r="AB33" s="2">
        <f>('_Настройки'!$B$6+MAX(0;Z33-1)*'_Настройки'!$B$7)*IF(AA33&gt;0;AA33;'_Настройки'!$B$10)</f>
        <v/>
      </c>
      <c r="AC33" s="2">
        <f>AB33*(1+'_Настройки'!$B$8)</f>
        <v/>
      </c>
      <c r="AD33" s="3">
        <f>'_Настройки'!$B$2</f>
        <v/>
      </c>
      <c r="AE33" s="2">
        <f>L33*AD33</f>
        <v/>
      </c>
      <c r="AF33" s="3">
        <f>'_Настройки'!$B$3</f>
        <v/>
      </c>
      <c r="AG33" s="3">
        <f>IFERROR(INDEX('_Комиссия_ВБ'!$B:$B;MATCH(C33;'_Комиссия_ВБ'!$A:$A;0));0,245)</f>
        <v/>
      </c>
      <c r="AH33" s="3">
        <f>AG33+AF33</f>
        <v/>
      </c>
      <c r="AI33" s="2">
        <f>L33*AH33</f>
        <v/>
      </c>
      <c r="AJ33" s="3">
        <f>IFERROR(INDEX('_Комиссия_ВБ'!$C:$C;MATCH(C33;'_Комиссия_ВБ'!$A:$A;0));0,28)</f>
        <v/>
      </c>
      <c r="AK33" s="3">
        <f>AJ33+AF33</f>
        <v/>
      </c>
      <c r="AL33" s="2">
        <f>L33*AK33</f>
        <v/>
      </c>
      <c r="AM33" s="2" t="n"/>
      <c r="AO33" s="3">
        <f>'_Настройки'!$B$5</f>
        <v/>
      </c>
      <c r="AP33" s="2">
        <f>IF(K33&gt;0;K33*AO33;0)</f>
        <v/>
      </c>
      <c r="AQ33" s="2">
        <f>L33-K33-AI33-AE33-IF(AM33&gt;0;AM33;'_Настройки'!$B$9)-AP33-AC33</f>
        <v/>
      </c>
      <c r="AR33" s="3">
        <f>IF(L33&gt;0;AQ33/L33;"")</f>
        <v/>
      </c>
      <c r="AS33" s="3">
        <f>IF(K33&gt;0;AQ33/K33;"")</f>
        <v/>
      </c>
      <c r="AT33" s="2">
        <f>L33-K33-AL33-AE33-IF(AM33&gt;0;AM33;'_Настройки'!$B$9)-AP33-AC33</f>
        <v/>
      </c>
      <c r="AU33" s="3">
        <f>IF(L33&gt;0;AT33/L33;"")</f>
        <v/>
      </c>
      <c r="AV33" s="3">
        <f>IF(K33&gt;0;AT33/K33;"")</f>
        <v/>
      </c>
    </row>
    <row r="34">
      <c r="A34">
        <f>ROW()-1</f>
        <v/>
      </c>
      <c r="K34" s="2">
        <f>IFERROR(INDEX('_Цены_закупки'!$B:$B;MATCH(C34;'_Цены_закупки'!$A:$A;0));"")</f>
        <v/>
      </c>
      <c r="L34" s="2" t="n"/>
      <c r="M34" s="2" t="n"/>
      <c r="N34" s="3">
        <f>IF(AND(M34&gt;0;L34&gt;0);1-L34/M34;"")</f>
        <v/>
      </c>
      <c r="O34" s="2">
        <f>IF(OR(Q34="";K34=0);"";(K34+IF(AM34&gt;0;AM34;'_Настройки'!$B$9)+AP34+AC34+Q34*K34)/(1-AH34-AD34))</f>
        <v/>
      </c>
      <c r="P34" s="2">
        <f>IF(O34="";"";O34-K34-O34*AH34-O34*AD34-IF(AM34&gt;0;AM34;'_Настройки'!$B$9)-AP34-AC34)</f>
        <v/>
      </c>
      <c r="Q34" s="3">
        <f>IF(AND(O34&gt;0;K34&gt;0);P34/K34;"")</f>
        <v/>
      </c>
      <c r="R34" s="2">
        <f>IF(O34="";"";O34-K34-O34*AK34-O34*AD34-IF(AM34&gt;0;AM34;'_Настройки'!$B$9)-AP34-AC34)</f>
        <v/>
      </c>
      <c r="S34" s="3">
        <f>IF(AND(O34&gt;0;K34&gt;0);R34/K34;"")</f>
        <v/>
      </c>
      <c r="T34" s="2" t="n"/>
      <c r="U34" s="3">
        <f>IF(AND(L34&gt;0;T34&gt;0);1-T34/L34;"")</f>
        <v/>
      </c>
      <c r="V34" s="3">
        <f>'_Настройки'!$B$4</f>
        <v/>
      </c>
      <c r="Z34" s="4">
        <f>IF(AND(W34&gt;0;X34&gt;0;Y34&gt;0);W34*X34*Y34/1000;"")</f>
        <v/>
      </c>
      <c r="AB34" s="2">
        <f>('_Настройки'!$B$6+MAX(0;Z34-1)*'_Настройки'!$B$7)*IF(AA34&gt;0;AA34;'_Настройки'!$B$10)</f>
        <v/>
      </c>
      <c r="AC34" s="2">
        <f>AB34*(1+'_Настройки'!$B$8)</f>
        <v/>
      </c>
      <c r="AD34" s="3">
        <f>'_Настройки'!$B$2</f>
        <v/>
      </c>
      <c r="AE34" s="2">
        <f>L34*AD34</f>
        <v/>
      </c>
      <c r="AF34" s="3">
        <f>'_Настройки'!$B$3</f>
        <v/>
      </c>
      <c r="AG34" s="3">
        <f>IFERROR(INDEX('_Комиссия_ВБ'!$B:$B;MATCH(C34;'_Комиссия_ВБ'!$A:$A;0));0,245)</f>
        <v/>
      </c>
      <c r="AH34" s="3">
        <f>AG34+AF34</f>
        <v/>
      </c>
      <c r="AI34" s="2">
        <f>L34*AH34</f>
        <v/>
      </c>
      <c r="AJ34" s="3">
        <f>IFERROR(INDEX('_Комиссия_ВБ'!$C:$C;MATCH(C34;'_Комиссия_ВБ'!$A:$A;0));0,28)</f>
        <v/>
      </c>
      <c r="AK34" s="3">
        <f>AJ34+AF34</f>
        <v/>
      </c>
      <c r="AL34" s="2">
        <f>L34*AK34</f>
        <v/>
      </c>
      <c r="AM34" s="2" t="n"/>
      <c r="AO34" s="3">
        <f>'_Настройки'!$B$5</f>
        <v/>
      </c>
      <c r="AP34" s="2">
        <f>IF(K34&gt;0;K34*AO34;0)</f>
        <v/>
      </c>
      <c r="AQ34" s="2">
        <f>L34-K34-AI34-AE34-IF(AM34&gt;0;AM34;'_Настройки'!$B$9)-AP34-AC34</f>
        <v/>
      </c>
      <c r="AR34" s="3">
        <f>IF(L34&gt;0;AQ34/L34;"")</f>
        <v/>
      </c>
      <c r="AS34" s="3">
        <f>IF(K34&gt;0;AQ34/K34;"")</f>
        <v/>
      </c>
      <c r="AT34" s="2">
        <f>L34-K34-AL34-AE34-IF(AM34&gt;0;AM34;'_Настройки'!$B$9)-AP34-AC34</f>
        <v/>
      </c>
      <c r="AU34" s="3">
        <f>IF(L34&gt;0;AT34/L34;"")</f>
        <v/>
      </c>
      <c r="AV34" s="3">
        <f>IF(K34&gt;0;AT34/K34;"")</f>
        <v/>
      </c>
    </row>
    <row r="35">
      <c r="A35">
        <f>ROW()-1</f>
        <v/>
      </c>
      <c r="K35" s="2">
        <f>IFERROR(INDEX('_Цены_закупки'!$B:$B;MATCH(C35;'_Цены_закупки'!$A:$A;0));"")</f>
        <v/>
      </c>
      <c r="L35" s="2" t="n"/>
      <c r="M35" s="2" t="n"/>
      <c r="N35" s="3">
        <f>IF(AND(M35&gt;0;L35&gt;0);1-L35/M35;"")</f>
        <v/>
      </c>
      <c r="O35" s="2">
        <f>IF(OR(Q35="";K35=0);"";(K35+IF(AM35&gt;0;AM35;'_Настройки'!$B$9)+AP35+AC35+Q35*K35)/(1-AH35-AD35))</f>
        <v/>
      </c>
      <c r="P35" s="2">
        <f>IF(O35="";"";O35-K35-O35*AH35-O35*AD35-IF(AM35&gt;0;AM35;'_Настройки'!$B$9)-AP35-AC35)</f>
        <v/>
      </c>
      <c r="Q35" s="3">
        <f>IF(AND(O35&gt;0;K35&gt;0);P35/K35;"")</f>
        <v/>
      </c>
      <c r="R35" s="2">
        <f>IF(O35="";"";O35-K35-O35*AK35-O35*AD35-IF(AM35&gt;0;AM35;'_Настройки'!$B$9)-AP35-AC35)</f>
        <v/>
      </c>
      <c r="S35" s="3">
        <f>IF(AND(O35&gt;0;K35&gt;0);R35/K35;"")</f>
        <v/>
      </c>
      <c r="T35" s="2" t="n"/>
      <c r="U35" s="3">
        <f>IF(AND(L35&gt;0;T35&gt;0);1-T35/L35;"")</f>
        <v/>
      </c>
      <c r="V35" s="3">
        <f>'_Настройки'!$B$4</f>
        <v/>
      </c>
      <c r="Z35" s="4">
        <f>IF(AND(W35&gt;0;X35&gt;0;Y35&gt;0);W35*X35*Y35/1000;"")</f>
        <v/>
      </c>
      <c r="AB35" s="2">
        <f>('_Настройки'!$B$6+MAX(0;Z35-1)*'_Настройки'!$B$7)*IF(AA35&gt;0;AA35;'_Настройки'!$B$10)</f>
        <v/>
      </c>
      <c r="AC35" s="2">
        <f>AB35*(1+'_Настройки'!$B$8)</f>
        <v/>
      </c>
      <c r="AD35" s="3">
        <f>'_Настройки'!$B$2</f>
        <v/>
      </c>
      <c r="AE35" s="2">
        <f>L35*AD35</f>
        <v/>
      </c>
      <c r="AF35" s="3">
        <f>'_Настройки'!$B$3</f>
        <v/>
      </c>
      <c r="AG35" s="3">
        <f>IFERROR(INDEX('_Комиссия_ВБ'!$B:$B;MATCH(C35;'_Комиссия_ВБ'!$A:$A;0));0,245)</f>
        <v/>
      </c>
      <c r="AH35" s="3">
        <f>AG35+AF35</f>
        <v/>
      </c>
      <c r="AI35" s="2">
        <f>L35*AH35</f>
        <v/>
      </c>
      <c r="AJ35" s="3">
        <f>IFERROR(INDEX('_Комиссия_ВБ'!$C:$C;MATCH(C35;'_Комиссия_ВБ'!$A:$A;0));0,28)</f>
        <v/>
      </c>
      <c r="AK35" s="3">
        <f>AJ35+AF35</f>
        <v/>
      </c>
      <c r="AL35" s="2">
        <f>L35*AK35</f>
        <v/>
      </c>
      <c r="AM35" s="2" t="n"/>
      <c r="AO35" s="3">
        <f>'_Настройки'!$B$5</f>
        <v/>
      </c>
      <c r="AP35" s="2">
        <f>IF(K35&gt;0;K35*AO35;0)</f>
        <v/>
      </c>
      <c r="AQ35" s="2">
        <f>L35-K35-AI35-AE35-IF(AM35&gt;0;AM35;'_Настройки'!$B$9)-AP35-AC35</f>
        <v/>
      </c>
      <c r="AR35" s="3">
        <f>IF(L35&gt;0;AQ35/L35;"")</f>
        <v/>
      </c>
      <c r="AS35" s="3">
        <f>IF(K35&gt;0;AQ35/K35;"")</f>
        <v/>
      </c>
      <c r="AT35" s="2">
        <f>L35-K35-AL35-AE35-IF(AM35&gt;0;AM35;'_Настройки'!$B$9)-AP35-AC35</f>
        <v/>
      </c>
      <c r="AU35" s="3">
        <f>IF(L35&gt;0;AT35/L35;"")</f>
        <v/>
      </c>
      <c r="AV35" s="3">
        <f>IF(K35&gt;0;AT35/K35;"")</f>
        <v/>
      </c>
    </row>
    <row r="36">
      <c r="A36">
        <f>ROW()-1</f>
        <v/>
      </c>
      <c r="K36" s="2">
        <f>IFERROR(INDEX('_Цены_закупки'!$B:$B;MATCH(C36;'_Цены_закупки'!$A:$A;0));"")</f>
        <v/>
      </c>
      <c r="L36" s="2" t="n"/>
      <c r="M36" s="2" t="n"/>
      <c r="N36" s="3">
        <f>IF(AND(M36&gt;0;L36&gt;0);1-L36/M36;"")</f>
        <v/>
      </c>
      <c r="O36" s="2">
        <f>IF(OR(Q36="";K36=0);"";(K36+IF(AM36&gt;0;AM36;'_Настройки'!$B$9)+AP36+AC36+Q36*K36)/(1-AH36-AD36))</f>
        <v/>
      </c>
      <c r="P36" s="2">
        <f>IF(O36="";"";O36-K36-O36*AH36-O36*AD36-IF(AM36&gt;0;AM36;'_Настройки'!$B$9)-AP36-AC36)</f>
        <v/>
      </c>
      <c r="Q36" s="3">
        <f>IF(AND(O36&gt;0;K36&gt;0);P36/K36;"")</f>
        <v/>
      </c>
      <c r="R36" s="2">
        <f>IF(O36="";"";O36-K36-O36*AK36-O36*AD36-IF(AM36&gt;0;AM36;'_Настройки'!$B$9)-AP36-AC36)</f>
        <v/>
      </c>
      <c r="S36" s="3">
        <f>IF(AND(O36&gt;0;K36&gt;0);R36/K36;"")</f>
        <v/>
      </c>
      <c r="T36" s="2" t="n"/>
      <c r="U36" s="3">
        <f>IF(AND(L36&gt;0;T36&gt;0);1-T36/L36;"")</f>
        <v/>
      </c>
      <c r="V36" s="3">
        <f>'_Настройки'!$B$4</f>
        <v/>
      </c>
      <c r="Z36" s="4">
        <f>IF(AND(W36&gt;0;X36&gt;0;Y36&gt;0);W36*X36*Y36/1000;"")</f>
        <v/>
      </c>
      <c r="AB36" s="2">
        <f>('_Настройки'!$B$6+MAX(0;Z36-1)*'_Настройки'!$B$7)*IF(AA36&gt;0;AA36;'_Настройки'!$B$10)</f>
        <v/>
      </c>
      <c r="AC36" s="2">
        <f>AB36*(1+'_Настройки'!$B$8)</f>
        <v/>
      </c>
      <c r="AD36" s="3">
        <f>'_Настройки'!$B$2</f>
        <v/>
      </c>
      <c r="AE36" s="2">
        <f>L36*AD36</f>
        <v/>
      </c>
      <c r="AF36" s="3">
        <f>'_Настройки'!$B$3</f>
        <v/>
      </c>
      <c r="AG36" s="3">
        <f>IFERROR(INDEX('_Комиссия_ВБ'!$B:$B;MATCH(C36;'_Комиссия_ВБ'!$A:$A;0));0,245)</f>
        <v/>
      </c>
      <c r="AH36" s="3">
        <f>AG36+AF36</f>
        <v/>
      </c>
      <c r="AI36" s="2">
        <f>L36*AH36</f>
        <v/>
      </c>
      <c r="AJ36" s="3">
        <f>IFERROR(INDEX('_Комиссия_ВБ'!$C:$C;MATCH(C36;'_Комиссия_ВБ'!$A:$A;0));0,28)</f>
        <v/>
      </c>
      <c r="AK36" s="3">
        <f>AJ36+AF36</f>
        <v/>
      </c>
      <c r="AL36" s="2">
        <f>L36*AK36</f>
        <v/>
      </c>
      <c r="AM36" s="2" t="n"/>
      <c r="AO36" s="3">
        <f>'_Настройки'!$B$5</f>
        <v/>
      </c>
      <c r="AP36" s="2">
        <f>IF(K36&gt;0;K36*AO36;0)</f>
        <v/>
      </c>
      <c r="AQ36" s="2">
        <f>L36-K36-AI36-AE36-IF(AM36&gt;0;AM36;'_Настройки'!$B$9)-AP36-AC36</f>
        <v/>
      </c>
      <c r="AR36" s="3">
        <f>IF(L36&gt;0;AQ36/L36;"")</f>
        <v/>
      </c>
      <c r="AS36" s="3">
        <f>IF(K36&gt;0;AQ36/K36;"")</f>
        <v/>
      </c>
      <c r="AT36" s="2">
        <f>L36-K36-AL36-AE36-IF(AM36&gt;0;AM36;'_Настройки'!$B$9)-AP36-AC36</f>
        <v/>
      </c>
      <c r="AU36" s="3">
        <f>IF(L36&gt;0;AT36/L36;"")</f>
        <v/>
      </c>
      <c r="AV36" s="3">
        <f>IF(K36&gt;0;AT36/K36;"")</f>
        <v/>
      </c>
    </row>
    <row r="37">
      <c r="A37">
        <f>ROW()-1</f>
        <v/>
      </c>
      <c r="K37" s="2">
        <f>IFERROR(INDEX('_Цены_закупки'!$B:$B;MATCH(C37;'_Цены_закупки'!$A:$A;0));"")</f>
        <v/>
      </c>
      <c r="L37" s="2" t="n"/>
      <c r="M37" s="2" t="n"/>
      <c r="N37" s="3">
        <f>IF(AND(M37&gt;0;L37&gt;0);1-L37/M37;"")</f>
        <v/>
      </c>
      <c r="O37" s="2">
        <f>IF(OR(Q37="";K37=0);"";(K37+IF(AM37&gt;0;AM37;'_Настройки'!$B$9)+AP37+AC37+Q37*K37)/(1-AH37-AD37))</f>
        <v/>
      </c>
      <c r="P37" s="2">
        <f>IF(O37="";"";O37-K37-O37*AH37-O37*AD37-IF(AM37&gt;0;AM37;'_Настройки'!$B$9)-AP37-AC37)</f>
        <v/>
      </c>
      <c r="Q37" s="3">
        <f>IF(AND(O37&gt;0;K37&gt;0);P37/K37;"")</f>
        <v/>
      </c>
      <c r="R37" s="2">
        <f>IF(O37="";"";O37-K37-O37*AK37-O37*AD37-IF(AM37&gt;0;AM37;'_Настройки'!$B$9)-AP37-AC37)</f>
        <v/>
      </c>
      <c r="S37" s="3">
        <f>IF(AND(O37&gt;0;K37&gt;0);R37/K37;"")</f>
        <v/>
      </c>
      <c r="T37" s="2" t="n"/>
      <c r="U37" s="3">
        <f>IF(AND(L37&gt;0;T37&gt;0);1-T37/L37;"")</f>
        <v/>
      </c>
      <c r="V37" s="3">
        <f>'_Настройки'!$B$4</f>
        <v/>
      </c>
      <c r="Z37" s="4">
        <f>IF(AND(W37&gt;0;X37&gt;0;Y37&gt;0);W37*X37*Y37/1000;"")</f>
        <v/>
      </c>
      <c r="AB37" s="2">
        <f>('_Настройки'!$B$6+MAX(0;Z37-1)*'_Настройки'!$B$7)*IF(AA37&gt;0;AA37;'_Настройки'!$B$10)</f>
        <v/>
      </c>
      <c r="AC37" s="2">
        <f>AB37*(1+'_Настройки'!$B$8)</f>
        <v/>
      </c>
      <c r="AD37" s="3">
        <f>'_Настройки'!$B$2</f>
        <v/>
      </c>
      <c r="AE37" s="2">
        <f>L37*AD37</f>
        <v/>
      </c>
      <c r="AF37" s="3">
        <f>'_Настройки'!$B$3</f>
        <v/>
      </c>
      <c r="AG37" s="3">
        <f>IFERROR(INDEX('_Комиссия_ВБ'!$B:$B;MATCH(C37;'_Комиссия_ВБ'!$A:$A;0));0,245)</f>
        <v/>
      </c>
      <c r="AH37" s="3">
        <f>AG37+AF37</f>
        <v/>
      </c>
      <c r="AI37" s="2">
        <f>L37*AH37</f>
        <v/>
      </c>
      <c r="AJ37" s="3">
        <f>IFERROR(INDEX('_Комиссия_ВБ'!$C:$C;MATCH(C37;'_Комиссия_ВБ'!$A:$A;0));0,28)</f>
        <v/>
      </c>
      <c r="AK37" s="3">
        <f>AJ37+AF37</f>
        <v/>
      </c>
      <c r="AL37" s="2">
        <f>L37*AK37</f>
        <v/>
      </c>
      <c r="AM37" s="2" t="n"/>
      <c r="AO37" s="3">
        <f>'_Настройки'!$B$5</f>
        <v/>
      </c>
      <c r="AP37" s="2">
        <f>IF(K37&gt;0;K37*AO37;0)</f>
        <v/>
      </c>
      <c r="AQ37" s="2">
        <f>L37-K37-AI37-AE37-IF(AM37&gt;0;AM37;'_Настройки'!$B$9)-AP37-AC37</f>
        <v/>
      </c>
      <c r="AR37" s="3">
        <f>IF(L37&gt;0;AQ37/L37;"")</f>
        <v/>
      </c>
      <c r="AS37" s="3">
        <f>IF(K37&gt;0;AQ37/K37;"")</f>
        <v/>
      </c>
      <c r="AT37" s="2">
        <f>L37-K37-AL37-AE37-IF(AM37&gt;0;AM37;'_Настройки'!$B$9)-AP37-AC37</f>
        <v/>
      </c>
      <c r="AU37" s="3">
        <f>IF(L37&gt;0;AT37/L37;"")</f>
        <v/>
      </c>
      <c r="AV37" s="3">
        <f>IF(K37&gt;0;AT37/K37;"")</f>
        <v/>
      </c>
    </row>
    <row r="38">
      <c r="A38">
        <f>ROW()-1</f>
        <v/>
      </c>
      <c r="K38" s="2">
        <f>IFERROR(INDEX('_Цены_закупки'!$B:$B;MATCH(C38;'_Цены_закупки'!$A:$A;0));"")</f>
        <v/>
      </c>
      <c r="L38" s="2" t="n"/>
      <c r="M38" s="2" t="n"/>
      <c r="N38" s="3">
        <f>IF(AND(M38&gt;0;L38&gt;0);1-L38/M38;"")</f>
        <v/>
      </c>
      <c r="O38" s="2">
        <f>IF(OR(Q38="";K38=0);"";(K38+IF(AM38&gt;0;AM38;'_Настройки'!$B$9)+AP38+AC38+Q38*K38)/(1-AH38-AD38))</f>
        <v/>
      </c>
      <c r="P38" s="2">
        <f>IF(O38="";"";O38-K38-O38*AH38-O38*AD38-IF(AM38&gt;0;AM38;'_Настройки'!$B$9)-AP38-AC38)</f>
        <v/>
      </c>
      <c r="Q38" s="3">
        <f>IF(AND(O38&gt;0;K38&gt;0);P38/K38;"")</f>
        <v/>
      </c>
      <c r="R38" s="2">
        <f>IF(O38="";"";O38-K38-O38*AK38-O38*AD38-IF(AM38&gt;0;AM38;'_Настройки'!$B$9)-AP38-AC38)</f>
        <v/>
      </c>
      <c r="S38" s="3">
        <f>IF(AND(O38&gt;0;K38&gt;0);R38/K38;"")</f>
        <v/>
      </c>
      <c r="T38" s="2" t="n"/>
      <c r="U38" s="3">
        <f>IF(AND(L38&gt;0;T38&gt;0);1-T38/L38;"")</f>
        <v/>
      </c>
      <c r="V38" s="3">
        <f>'_Настройки'!$B$4</f>
        <v/>
      </c>
      <c r="Z38" s="4">
        <f>IF(AND(W38&gt;0;X38&gt;0;Y38&gt;0);W38*X38*Y38/1000;"")</f>
        <v/>
      </c>
      <c r="AB38" s="2">
        <f>('_Настройки'!$B$6+MAX(0;Z38-1)*'_Настройки'!$B$7)*IF(AA38&gt;0;AA38;'_Настройки'!$B$10)</f>
        <v/>
      </c>
      <c r="AC38" s="2">
        <f>AB38*(1+'_Настройки'!$B$8)</f>
        <v/>
      </c>
      <c r="AD38" s="3">
        <f>'_Настройки'!$B$2</f>
        <v/>
      </c>
      <c r="AE38" s="2">
        <f>L38*AD38</f>
        <v/>
      </c>
      <c r="AF38" s="3">
        <f>'_Настройки'!$B$3</f>
        <v/>
      </c>
      <c r="AG38" s="3">
        <f>IFERROR(INDEX('_Комиссия_ВБ'!$B:$B;MATCH(C38;'_Комиссия_ВБ'!$A:$A;0));0,245)</f>
        <v/>
      </c>
      <c r="AH38" s="3">
        <f>AG38+AF38</f>
        <v/>
      </c>
      <c r="AI38" s="2">
        <f>L38*AH38</f>
        <v/>
      </c>
      <c r="AJ38" s="3">
        <f>IFERROR(INDEX('_Комиссия_ВБ'!$C:$C;MATCH(C38;'_Комиссия_ВБ'!$A:$A;0));0,28)</f>
        <v/>
      </c>
      <c r="AK38" s="3">
        <f>AJ38+AF38</f>
        <v/>
      </c>
      <c r="AL38" s="2">
        <f>L38*AK38</f>
        <v/>
      </c>
      <c r="AM38" s="2" t="n"/>
      <c r="AO38" s="3">
        <f>'_Настройки'!$B$5</f>
        <v/>
      </c>
      <c r="AP38" s="2">
        <f>IF(K38&gt;0;K38*AO38;0)</f>
        <v/>
      </c>
      <c r="AQ38" s="2">
        <f>L38-K38-AI38-AE38-IF(AM38&gt;0;AM38;'_Настройки'!$B$9)-AP38-AC38</f>
        <v/>
      </c>
      <c r="AR38" s="3">
        <f>IF(L38&gt;0;AQ38/L38;"")</f>
        <v/>
      </c>
      <c r="AS38" s="3">
        <f>IF(K38&gt;0;AQ38/K38;"")</f>
        <v/>
      </c>
      <c r="AT38" s="2">
        <f>L38-K38-AL38-AE38-IF(AM38&gt;0;AM38;'_Настройки'!$B$9)-AP38-AC38</f>
        <v/>
      </c>
      <c r="AU38" s="3">
        <f>IF(L38&gt;0;AT38/L38;"")</f>
        <v/>
      </c>
      <c r="AV38" s="3">
        <f>IF(K38&gt;0;AT38/K38;"")</f>
        <v/>
      </c>
    </row>
    <row r="39">
      <c r="A39">
        <f>ROW()-1</f>
        <v/>
      </c>
      <c r="K39" s="2">
        <f>IFERROR(INDEX('_Цены_закупки'!$B:$B;MATCH(C39;'_Цены_закупки'!$A:$A;0));"")</f>
        <v/>
      </c>
      <c r="L39" s="2" t="n"/>
      <c r="M39" s="2" t="n"/>
      <c r="N39" s="3">
        <f>IF(AND(M39&gt;0;L39&gt;0);1-L39/M39;"")</f>
        <v/>
      </c>
      <c r="O39" s="2">
        <f>IF(OR(Q39="";K39=0);"";(K39+IF(AM39&gt;0;AM39;'_Настройки'!$B$9)+AP39+AC39+Q39*K39)/(1-AH39-AD39))</f>
        <v/>
      </c>
      <c r="P39" s="2">
        <f>IF(O39="";"";O39-K39-O39*AH39-O39*AD39-IF(AM39&gt;0;AM39;'_Настройки'!$B$9)-AP39-AC39)</f>
        <v/>
      </c>
      <c r="Q39" s="3">
        <f>IF(AND(O39&gt;0;K39&gt;0);P39/K39;"")</f>
        <v/>
      </c>
      <c r="R39" s="2">
        <f>IF(O39="";"";O39-K39-O39*AK39-O39*AD39-IF(AM39&gt;0;AM39;'_Настройки'!$B$9)-AP39-AC39)</f>
        <v/>
      </c>
      <c r="S39" s="3">
        <f>IF(AND(O39&gt;0;K39&gt;0);R39/K39;"")</f>
        <v/>
      </c>
      <c r="T39" s="2" t="n"/>
      <c r="U39" s="3">
        <f>IF(AND(L39&gt;0;T39&gt;0);1-T39/L39;"")</f>
        <v/>
      </c>
      <c r="V39" s="3">
        <f>'_Настройки'!$B$4</f>
        <v/>
      </c>
      <c r="Z39" s="4">
        <f>IF(AND(W39&gt;0;X39&gt;0;Y39&gt;0);W39*X39*Y39/1000;"")</f>
        <v/>
      </c>
      <c r="AB39" s="2">
        <f>('_Настройки'!$B$6+MAX(0;Z39-1)*'_Настройки'!$B$7)*IF(AA39&gt;0;AA39;'_Настройки'!$B$10)</f>
        <v/>
      </c>
      <c r="AC39" s="2">
        <f>AB39*(1+'_Настройки'!$B$8)</f>
        <v/>
      </c>
      <c r="AD39" s="3">
        <f>'_Настройки'!$B$2</f>
        <v/>
      </c>
      <c r="AE39" s="2">
        <f>L39*AD39</f>
        <v/>
      </c>
      <c r="AF39" s="3">
        <f>'_Настройки'!$B$3</f>
        <v/>
      </c>
      <c r="AG39" s="3">
        <f>IFERROR(INDEX('_Комиссия_ВБ'!$B:$B;MATCH(C39;'_Комиссия_ВБ'!$A:$A;0));0,245)</f>
        <v/>
      </c>
      <c r="AH39" s="3">
        <f>AG39+AF39</f>
        <v/>
      </c>
      <c r="AI39" s="2">
        <f>L39*AH39</f>
        <v/>
      </c>
      <c r="AJ39" s="3">
        <f>IFERROR(INDEX('_Комиссия_ВБ'!$C:$C;MATCH(C39;'_Комиссия_ВБ'!$A:$A;0));0,28)</f>
        <v/>
      </c>
      <c r="AK39" s="3">
        <f>AJ39+AF39</f>
        <v/>
      </c>
      <c r="AL39" s="2">
        <f>L39*AK39</f>
        <v/>
      </c>
      <c r="AM39" s="2" t="n"/>
      <c r="AO39" s="3">
        <f>'_Настройки'!$B$5</f>
        <v/>
      </c>
      <c r="AP39" s="2">
        <f>IF(K39&gt;0;K39*AO39;0)</f>
        <v/>
      </c>
      <c r="AQ39" s="2">
        <f>L39-K39-AI39-AE39-IF(AM39&gt;0;AM39;'_Настройки'!$B$9)-AP39-AC39</f>
        <v/>
      </c>
      <c r="AR39" s="3">
        <f>IF(L39&gt;0;AQ39/L39;"")</f>
        <v/>
      </c>
      <c r="AS39" s="3">
        <f>IF(K39&gt;0;AQ39/K39;"")</f>
        <v/>
      </c>
      <c r="AT39" s="2">
        <f>L39-K39-AL39-AE39-IF(AM39&gt;0;AM39;'_Настройки'!$B$9)-AP39-AC39</f>
        <v/>
      </c>
      <c r="AU39" s="3">
        <f>IF(L39&gt;0;AT39/L39;"")</f>
        <v/>
      </c>
      <c r="AV39" s="3">
        <f>IF(K39&gt;0;AT39/K39;"")</f>
        <v/>
      </c>
    </row>
    <row r="40">
      <c r="A40">
        <f>ROW()-1</f>
        <v/>
      </c>
      <c r="K40" s="2">
        <f>IFERROR(INDEX('_Цены_закупки'!$B:$B;MATCH(C40;'_Цены_закупки'!$A:$A;0));"")</f>
        <v/>
      </c>
      <c r="L40" s="2" t="n"/>
      <c r="M40" s="2" t="n"/>
      <c r="N40" s="3">
        <f>IF(AND(M40&gt;0;L40&gt;0);1-L40/M40;"")</f>
        <v/>
      </c>
      <c r="O40" s="2">
        <f>IF(OR(Q40="";K40=0);"";(K40+IF(AM40&gt;0;AM40;'_Настройки'!$B$9)+AP40+AC40+Q40*K40)/(1-AH40-AD40))</f>
        <v/>
      </c>
      <c r="P40" s="2">
        <f>IF(O40="";"";O40-K40-O40*AH40-O40*AD40-IF(AM40&gt;0;AM40;'_Настройки'!$B$9)-AP40-AC40)</f>
        <v/>
      </c>
      <c r="Q40" s="3">
        <f>IF(AND(O40&gt;0;K40&gt;0);P40/K40;"")</f>
        <v/>
      </c>
      <c r="R40" s="2">
        <f>IF(O40="";"";O40-K40-O40*AK40-O40*AD40-IF(AM40&gt;0;AM40;'_Настройки'!$B$9)-AP40-AC40)</f>
        <v/>
      </c>
      <c r="S40" s="3">
        <f>IF(AND(O40&gt;0;K40&gt;0);R40/K40;"")</f>
        <v/>
      </c>
      <c r="T40" s="2" t="n"/>
      <c r="U40" s="3">
        <f>IF(AND(L40&gt;0;T40&gt;0);1-T40/L40;"")</f>
        <v/>
      </c>
      <c r="V40" s="3">
        <f>'_Настройки'!$B$4</f>
        <v/>
      </c>
      <c r="Z40" s="4">
        <f>IF(AND(W40&gt;0;X40&gt;0;Y40&gt;0);W40*X40*Y40/1000;"")</f>
        <v/>
      </c>
      <c r="AB40" s="2">
        <f>('_Настройки'!$B$6+MAX(0;Z40-1)*'_Настройки'!$B$7)*IF(AA40&gt;0;AA40;'_Настройки'!$B$10)</f>
        <v/>
      </c>
      <c r="AC40" s="2">
        <f>AB40*(1+'_Настройки'!$B$8)</f>
        <v/>
      </c>
      <c r="AD40" s="3">
        <f>'_Настройки'!$B$2</f>
        <v/>
      </c>
      <c r="AE40" s="2">
        <f>L40*AD40</f>
        <v/>
      </c>
      <c r="AF40" s="3">
        <f>'_Настройки'!$B$3</f>
        <v/>
      </c>
      <c r="AG40" s="3">
        <f>IFERROR(INDEX('_Комиссия_ВБ'!$B:$B;MATCH(C40;'_Комиссия_ВБ'!$A:$A;0));0,245)</f>
        <v/>
      </c>
      <c r="AH40" s="3">
        <f>AG40+AF40</f>
        <v/>
      </c>
      <c r="AI40" s="2">
        <f>L40*AH40</f>
        <v/>
      </c>
      <c r="AJ40" s="3">
        <f>IFERROR(INDEX('_Комиссия_ВБ'!$C:$C;MATCH(C40;'_Комиссия_ВБ'!$A:$A;0));0,28)</f>
        <v/>
      </c>
      <c r="AK40" s="3">
        <f>AJ40+AF40</f>
        <v/>
      </c>
      <c r="AL40" s="2">
        <f>L40*AK40</f>
        <v/>
      </c>
      <c r="AM40" s="2" t="n"/>
      <c r="AO40" s="3">
        <f>'_Настройки'!$B$5</f>
        <v/>
      </c>
      <c r="AP40" s="2">
        <f>IF(K40&gt;0;K40*AO40;0)</f>
        <v/>
      </c>
      <c r="AQ40" s="2">
        <f>L40-K40-AI40-AE40-IF(AM40&gt;0;AM40;'_Настройки'!$B$9)-AP40-AC40</f>
        <v/>
      </c>
      <c r="AR40" s="3">
        <f>IF(L40&gt;0;AQ40/L40;"")</f>
        <v/>
      </c>
      <c r="AS40" s="3">
        <f>IF(K40&gt;0;AQ40/K40;"")</f>
        <v/>
      </c>
      <c r="AT40" s="2">
        <f>L40-K40-AL40-AE40-IF(AM40&gt;0;AM40;'_Настройки'!$B$9)-AP40-AC40</f>
        <v/>
      </c>
      <c r="AU40" s="3">
        <f>IF(L40&gt;0;AT40/L40;"")</f>
        <v/>
      </c>
      <c r="AV40" s="3">
        <f>IF(K40&gt;0;AT40/K40;"")</f>
        <v/>
      </c>
    </row>
    <row r="41">
      <c r="A41">
        <f>ROW()-1</f>
        <v/>
      </c>
      <c r="K41" s="2">
        <f>IFERROR(INDEX('_Цены_закупки'!$B:$B;MATCH(C41;'_Цены_закупки'!$A:$A;0));"")</f>
        <v/>
      </c>
      <c r="L41" s="2" t="n"/>
      <c r="M41" s="2" t="n"/>
      <c r="N41" s="3">
        <f>IF(AND(M41&gt;0;L41&gt;0);1-L41/M41;"")</f>
        <v/>
      </c>
      <c r="O41" s="2">
        <f>IF(OR(Q41="";K41=0);"";(K41+IF(AM41&gt;0;AM41;'_Настройки'!$B$9)+AP41+AC41+Q41*K41)/(1-AH41-AD41))</f>
        <v/>
      </c>
      <c r="P41" s="2">
        <f>IF(O41="";"";O41-K41-O41*AH41-O41*AD41-IF(AM41&gt;0;AM41;'_Настройки'!$B$9)-AP41-AC41)</f>
        <v/>
      </c>
      <c r="Q41" s="3">
        <f>IF(AND(O41&gt;0;K41&gt;0);P41/K41;"")</f>
        <v/>
      </c>
      <c r="R41" s="2">
        <f>IF(O41="";"";O41-K41-O41*AK41-O41*AD41-IF(AM41&gt;0;AM41;'_Настройки'!$B$9)-AP41-AC41)</f>
        <v/>
      </c>
      <c r="S41" s="3">
        <f>IF(AND(O41&gt;0;K41&gt;0);R41/K41;"")</f>
        <v/>
      </c>
      <c r="T41" s="2" t="n"/>
      <c r="U41" s="3">
        <f>IF(AND(L41&gt;0;T41&gt;0);1-T41/L41;"")</f>
        <v/>
      </c>
      <c r="V41" s="3">
        <f>'_Настройки'!$B$4</f>
        <v/>
      </c>
      <c r="Z41" s="4">
        <f>IF(AND(W41&gt;0;X41&gt;0;Y41&gt;0);W41*X41*Y41/1000;"")</f>
        <v/>
      </c>
      <c r="AB41" s="2">
        <f>('_Настройки'!$B$6+MAX(0;Z41-1)*'_Настройки'!$B$7)*IF(AA41&gt;0;AA41;'_Настройки'!$B$10)</f>
        <v/>
      </c>
      <c r="AC41" s="2">
        <f>AB41*(1+'_Настройки'!$B$8)</f>
        <v/>
      </c>
      <c r="AD41" s="3">
        <f>'_Настройки'!$B$2</f>
        <v/>
      </c>
      <c r="AE41" s="2">
        <f>L41*AD41</f>
        <v/>
      </c>
      <c r="AF41" s="3">
        <f>'_Настройки'!$B$3</f>
        <v/>
      </c>
      <c r="AG41" s="3">
        <f>IFERROR(INDEX('_Комиссия_ВБ'!$B:$B;MATCH(C41;'_Комиссия_ВБ'!$A:$A;0));0,245)</f>
        <v/>
      </c>
      <c r="AH41" s="3">
        <f>AG41+AF41</f>
        <v/>
      </c>
      <c r="AI41" s="2">
        <f>L41*AH41</f>
        <v/>
      </c>
      <c r="AJ41" s="3">
        <f>IFERROR(INDEX('_Комиссия_ВБ'!$C:$C;MATCH(C41;'_Комиссия_ВБ'!$A:$A;0));0,28)</f>
        <v/>
      </c>
      <c r="AK41" s="3">
        <f>AJ41+AF41</f>
        <v/>
      </c>
      <c r="AL41" s="2">
        <f>L41*AK41</f>
        <v/>
      </c>
      <c r="AM41" s="2" t="n"/>
      <c r="AO41" s="3">
        <f>'_Настройки'!$B$5</f>
        <v/>
      </c>
      <c r="AP41" s="2">
        <f>IF(K41&gt;0;K41*AO41;0)</f>
        <v/>
      </c>
      <c r="AQ41" s="2">
        <f>L41-K41-AI41-AE41-IF(AM41&gt;0;AM41;'_Настройки'!$B$9)-AP41-AC41</f>
        <v/>
      </c>
      <c r="AR41" s="3">
        <f>IF(L41&gt;0;AQ41/L41;"")</f>
        <v/>
      </c>
      <c r="AS41" s="3">
        <f>IF(K41&gt;0;AQ41/K41;"")</f>
        <v/>
      </c>
      <c r="AT41" s="2">
        <f>L41-K41-AL41-AE41-IF(AM41&gt;0;AM41;'_Настройки'!$B$9)-AP41-AC41</f>
        <v/>
      </c>
      <c r="AU41" s="3">
        <f>IF(L41&gt;0;AT41/L41;"")</f>
        <v/>
      </c>
      <c r="AV41" s="3">
        <f>IF(K41&gt;0;AT41/K41;"")</f>
        <v/>
      </c>
    </row>
    <row r="42">
      <c r="A42">
        <f>ROW()-1</f>
        <v/>
      </c>
      <c r="K42" s="2">
        <f>IFERROR(INDEX('_Цены_закупки'!$B:$B;MATCH(C42;'_Цены_закупки'!$A:$A;0));"")</f>
        <v/>
      </c>
      <c r="L42" s="2" t="n"/>
      <c r="M42" s="2" t="n"/>
      <c r="N42" s="3">
        <f>IF(AND(M42&gt;0;L42&gt;0);1-L42/M42;"")</f>
        <v/>
      </c>
      <c r="O42" s="2">
        <f>IF(OR(Q42="";K42=0);"";(K42+IF(AM42&gt;0;AM42;'_Настройки'!$B$9)+AP42+AC42+Q42*K42)/(1-AH42-AD42))</f>
        <v/>
      </c>
      <c r="P42" s="2">
        <f>IF(O42="";"";O42-K42-O42*AH42-O42*AD42-IF(AM42&gt;0;AM42;'_Настройки'!$B$9)-AP42-AC42)</f>
        <v/>
      </c>
      <c r="Q42" s="3">
        <f>IF(AND(O42&gt;0;K42&gt;0);P42/K42;"")</f>
        <v/>
      </c>
      <c r="R42" s="2">
        <f>IF(O42="";"";O42-K42-O42*AK42-O42*AD42-IF(AM42&gt;0;AM42;'_Настройки'!$B$9)-AP42-AC42)</f>
        <v/>
      </c>
      <c r="S42" s="3">
        <f>IF(AND(O42&gt;0;K42&gt;0);R42/K42;"")</f>
        <v/>
      </c>
      <c r="T42" s="2" t="n"/>
      <c r="U42" s="3">
        <f>IF(AND(L42&gt;0;T42&gt;0);1-T42/L42;"")</f>
        <v/>
      </c>
      <c r="V42" s="3">
        <f>'_Настройки'!$B$4</f>
        <v/>
      </c>
      <c r="Z42" s="4">
        <f>IF(AND(W42&gt;0;X42&gt;0;Y42&gt;0);W42*X42*Y42/1000;"")</f>
        <v/>
      </c>
      <c r="AB42" s="2">
        <f>('_Настройки'!$B$6+MAX(0;Z42-1)*'_Настройки'!$B$7)*IF(AA42&gt;0;AA42;'_Настройки'!$B$10)</f>
        <v/>
      </c>
      <c r="AC42" s="2">
        <f>AB42*(1+'_Настройки'!$B$8)</f>
        <v/>
      </c>
      <c r="AD42" s="3">
        <f>'_Настройки'!$B$2</f>
        <v/>
      </c>
      <c r="AE42" s="2">
        <f>L42*AD42</f>
        <v/>
      </c>
      <c r="AF42" s="3">
        <f>'_Настройки'!$B$3</f>
        <v/>
      </c>
      <c r="AG42" s="3">
        <f>IFERROR(INDEX('_Комиссия_ВБ'!$B:$B;MATCH(C42;'_Комиссия_ВБ'!$A:$A;0));0,245)</f>
        <v/>
      </c>
      <c r="AH42" s="3">
        <f>AG42+AF42</f>
        <v/>
      </c>
      <c r="AI42" s="2">
        <f>L42*AH42</f>
        <v/>
      </c>
      <c r="AJ42" s="3">
        <f>IFERROR(INDEX('_Комиссия_ВБ'!$C:$C;MATCH(C42;'_Комиссия_ВБ'!$A:$A;0));0,28)</f>
        <v/>
      </c>
      <c r="AK42" s="3">
        <f>AJ42+AF42</f>
        <v/>
      </c>
      <c r="AL42" s="2">
        <f>L42*AK42</f>
        <v/>
      </c>
      <c r="AM42" s="2" t="n"/>
      <c r="AO42" s="3">
        <f>'_Настройки'!$B$5</f>
        <v/>
      </c>
      <c r="AP42" s="2">
        <f>IF(K42&gt;0;K42*AO42;0)</f>
        <v/>
      </c>
      <c r="AQ42" s="2">
        <f>L42-K42-AI42-AE42-IF(AM42&gt;0;AM42;'_Настройки'!$B$9)-AP42-AC42</f>
        <v/>
      </c>
      <c r="AR42" s="3">
        <f>IF(L42&gt;0;AQ42/L42;"")</f>
        <v/>
      </c>
      <c r="AS42" s="3">
        <f>IF(K42&gt;0;AQ42/K42;"")</f>
        <v/>
      </c>
      <c r="AT42" s="2">
        <f>L42-K42-AL42-AE42-IF(AM42&gt;0;AM42;'_Настройки'!$B$9)-AP42-AC42</f>
        <v/>
      </c>
      <c r="AU42" s="3">
        <f>IF(L42&gt;0;AT42/L42;"")</f>
        <v/>
      </c>
      <c r="AV42" s="3">
        <f>IF(K42&gt;0;AT42/K42;"")</f>
        <v/>
      </c>
    </row>
    <row r="43">
      <c r="A43">
        <f>ROW()-1</f>
        <v/>
      </c>
      <c r="K43" s="2">
        <f>IFERROR(INDEX('_Цены_закупки'!$B:$B;MATCH(C43;'_Цены_закупки'!$A:$A;0));"")</f>
        <v/>
      </c>
      <c r="L43" s="2" t="n"/>
      <c r="M43" s="2" t="n"/>
      <c r="N43" s="3">
        <f>IF(AND(M43&gt;0;L43&gt;0);1-L43/M43;"")</f>
        <v/>
      </c>
      <c r="O43" s="2">
        <f>IF(OR(Q43="";K43=0);"";(K43+IF(AM43&gt;0;AM43;'_Настройки'!$B$9)+AP43+AC43+Q43*K43)/(1-AH43-AD43))</f>
        <v/>
      </c>
      <c r="P43" s="2">
        <f>IF(O43="";"";O43-K43-O43*AH43-O43*AD43-IF(AM43&gt;0;AM43;'_Настройки'!$B$9)-AP43-AC43)</f>
        <v/>
      </c>
      <c r="Q43" s="3">
        <f>IF(AND(O43&gt;0;K43&gt;0);P43/K43;"")</f>
        <v/>
      </c>
      <c r="R43" s="2">
        <f>IF(O43="";"";O43-K43-O43*AK43-O43*AD43-IF(AM43&gt;0;AM43;'_Настройки'!$B$9)-AP43-AC43)</f>
        <v/>
      </c>
      <c r="S43" s="3">
        <f>IF(AND(O43&gt;0;K43&gt;0);R43/K43;"")</f>
        <v/>
      </c>
      <c r="T43" s="2" t="n"/>
      <c r="U43" s="3">
        <f>IF(AND(L43&gt;0;T43&gt;0);1-T43/L43;"")</f>
        <v/>
      </c>
      <c r="V43" s="3">
        <f>'_Настройки'!$B$4</f>
        <v/>
      </c>
      <c r="Z43" s="4">
        <f>IF(AND(W43&gt;0;X43&gt;0;Y43&gt;0);W43*X43*Y43/1000;"")</f>
        <v/>
      </c>
      <c r="AB43" s="2">
        <f>('_Настройки'!$B$6+MAX(0;Z43-1)*'_Настройки'!$B$7)*IF(AA43&gt;0;AA43;'_Настройки'!$B$10)</f>
        <v/>
      </c>
      <c r="AC43" s="2">
        <f>AB43*(1+'_Настройки'!$B$8)</f>
        <v/>
      </c>
      <c r="AD43" s="3">
        <f>'_Настройки'!$B$2</f>
        <v/>
      </c>
      <c r="AE43" s="2">
        <f>L43*AD43</f>
        <v/>
      </c>
      <c r="AF43" s="3">
        <f>'_Настройки'!$B$3</f>
        <v/>
      </c>
      <c r="AG43" s="3">
        <f>IFERROR(INDEX('_Комиссия_ВБ'!$B:$B;MATCH(C43;'_Комиссия_ВБ'!$A:$A;0));0,245)</f>
        <v/>
      </c>
      <c r="AH43" s="3">
        <f>AG43+AF43</f>
        <v/>
      </c>
      <c r="AI43" s="2">
        <f>L43*AH43</f>
        <v/>
      </c>
      <c r="AJ43" s="3">
        <f>IFERROR(INDEX('_Комиссия_ВБ'!$C:$C;MATCH(C43;'_Комиссия_ВБ'!$A:$A;0));0,28)</f>
        <v/>
      </c>
      <c r="AK43" s="3">
        <f>AJ43+AF43</f>
        <v/>
      </c>
      <c r="AL43" s="2">
        <f>L43*AK43</f>
        <v/>
      </c>
      <c r="AM43" s="2" t="n"/>
      <c r="AO43" s="3">
        <f>'_Настройки'!$B$5</f>
        <v/>
      </c>
      <c r="AP43" s="2">
        <f>IF(K43&gt;0;K43*AO43;0)</f>
        <v/>
      </c>
      <c r="AQ43" s="2">
        <f>L43-K43-AI43-AE43-IF(AM43&gt;0;AM43;'_Настройки'!$B$9)-AP43-AC43</f>
        <v/>
      </c>
      <c r="AR43" s="3">
        <f>IF(L43&gt;0;AQ43/L43;"")</f>
        <v/>
      </c>
      <c r="AS43" s="3">
        <f>IF(K43&gt;0;AQ43/K43;"")</f>
        <v/>
      </c>
      <c r="AT43" s="2">
        <f>L43-K43-AL43-AE43-IF(AM43&gt;0;AM43;'_Настройки'!$B$9)-AP43-AC43</f>
        <v/>
      </c>
      <c r="AU43" s="3">
        <f>IF(L43&gt;0;AT43/L43;"")</f>
        <v/>
      </c>
      <c r="AV43" s="3">
        <f>IF(K43&gt;0;AT43/K43;"")</f>
        <v/>
      </c>
    </row>
    <row r="44">
      <c r="A44">
        <f>ROW()-1</f>
        <v/>
      </c>
      <c r="K44" s="2">
        <f>IFERROR(INDEX('_Цены_закупки'!$B:$B;MATCH(C44;'_Цены_закупки'!$A:$A;0));"")</f>
        <v/>
      </c>
      <c r="L44" s="2" t="n"/>
      <c r="M44" s="2" t="n"/>
      <c r="N44" s="3">
        <f>IF(AND(M44&gt;0;L44&gt;0);1-L44/M44;"")</f>
        <v/>
      </c>
      <c r="O44" s="2">
        <f>IF(OR(Q44="";K44=0);"";(K44+IF(AM44&gt;0;AM44;'_Настройки'!$B$9)+AP44+AC44+Q44*K44)/(1-AH44-AD44))</f>
        <v/>
      </c>
      <c r="P44" s="2">
        <f>IF(O44="";"";O44-K44-O44*AH44-O44*AD44-IF(AM44&gt;0;AM44;'_Настройки'!$B$9)-AP44-AC44)</f>
        <v/>
      </c>
      <c r="Q44" s="3">
        <f>IF(AND(O44&gt;0;K44&gt;0);P44/K44;"")</f>
        <v/>
      </c>
      <c r="R44" s="2">
        <f>IF(O44="";"";O44-K44-O44*AK44-O44*AD44-IF(AM44&gt;0;AM44;'_Настройки'!$B$9)-AP44-AC44)</f>
        <v/>
      </c>
      <c r="S44" s="3">
        <f>IF(AND(O44&gt;0;K44&gt;0);R44/K44;"")</f>
        <v/>
      </c>
      <c r="T44" s="2" t="n"/>
      <c r="U44" s="3">
        <f>IF(AND(L44&gt;0;T44&gt;0);1-T44/L44;"")</f>
        <v/>
      </c>
      <c r="V44" s="3">
        <f>'_Настройки'!$B$4</f>
        <v/>
      </c>
      <c r="Z44" s="4">
        <f>IF(AND(W44&gt;0;X44&gt;0;Y44&gt;0);W44*X44*Y44/1000;"")</f>
        <v/>
      </c>
      <c r="AB44" s="2">
        <f>('_Настройки'!$B$6+MAX(0;Z44-1)*'_Настройки'!$B$7)*IF(AA44&gt;0;AA44;'_Настройки'!$B$10)</f>
        <v/>
      </c>
      <c r="AC44" s="2">
        <f>AB44*(1+'_Настройки'!$B$8)</f>
        <v/>
      </c>
      <c r="AD44" s="3">
        <f>'_Настройки'!$B$2</f>
        <v/>
      </c>
      <c r="AE44" s="2">
        <f>L44*AD44</f>
        <v/>
      </c>
      <c r="AF44" s="3">
        <f>'_Настройки'!$B$3</f>
        <v/>
      </c>
      <c r="AG44" s="3">
        <f>IFERROR(INDEX('_Комиссия_ВБ'!$B:$B;MATCH(C44;'_Комиссия_ВБ'!$A:$A;0));0,245)</f>
        <v/>
      </c>
      <c r="AH44" s="3">
        <f>AG44+AF44</f>
        <v/>
      </c>
      <c r="AI44" s="2">
        <f>L44*AH44</f>
        <v/>
      </c>
      <c r="AJ44" s="3">
        <f>IFERROR(INDEX('_Комиссия_ВБ'!$C:$C;MATCH(C44;'_Комиссия_ВБ'!$A:$A;0));0,28)</f>
        <v/>
      </c>
      <c r="AK44" s="3">
        <f>AJ44+AF44</f>
        <v/>
      </c>
      <c r="AL44" s="2">
        <f>L44*AK44</f>
        <v/>
      </c>
      <c r="AM44" s="2" t="n"/>
      <c r="AO44" s="3">
        <f>'_Настройки'!$B$5</f>
        <v/>
      </c>
      <c r="AP44" s="2">
        <f>IF(K44&gt;0;K44*AO44;0)</f>
        <v/>
      </c>
      <c r="AQ44" s="2">
        <f>L44-K44-AI44-AE44-IF(AM44&gt;0;AM44;'_Настройки'!$B$9)-AP44-AC44</f>
        <v/>
      </c>
      <c r="AR44" s="3">
        <f>IF(L44&gt;0;AQ44/L44;"")</f>
        <v/>
      </c>
      <c r="AS44" s="3">
        <f>IF(K44&gt;0;AQ44/K44;"")</f>
        <v/>
      </c>
      <c r="AT44" s="2">
        <f>L44-K44-AL44-AE44-IF(AM44&gt;0;AM44;'_Настройки'!$B$9)-AP44-AC44</f>
        <v/>
      </c>
      <c r="AU44" s="3">
        <f>IF(L44&gt;0;AT44/L44;"")</f>
        <v/>
      </c>
      <c r="AV44" s="3">
        <f>IF(K44&gt;0;AT44/K44;"")</f>
        <v/>
      </c>
    </row>
    <row r="45">
      <c r="A45">
        <f>ROW()-1</f>
        <v/>
      </c>
      <c r="K45" s="2">
        <f>IFERROR(INDEX('_Цены_закупки'!$B:$B;MATCH(C45;'_Цены_закупки'!$A:$A;0));"")</f>
        <v/>
      </c>
      <c r="L45" s="2" t="n"/>
      <c r="M45" s="2" t="n"/>
      <c r="N45" s="3">
        <f>IF(AND(M45&gt;0;L45&gt;0);1-L45/M45;"")</f>
        <v/>
      </c>
      <c r="O45" s="2">
        <f>IF(OR(Q45="";K45=0);"";(K45+IF(AM45&gt;0;AM45;'_Настройки'!$B$9)+AP45+AC45+Q45*K45)/(1-AH45-AD45))</f>
        <v/>
      </c>
      <c r="P45" s="2">
        <f>IF(O45="";"";O45-K45-O45*AH45-O45*AD45-IF(AM45&gt;0;AM45;'_Настройки'!$B$9)-AP45-AC45)</f>
        <v/>
      </c>
      <c r="Q45" s="3">
        <f>IF(AND(O45&gt;0;K45&gt;0);P45/K45;"")</f>
        <v/>
      </c>
      <c r="R45" s="2">
        <f>IF(O45="";"";O45-K45-O45*AK45-O45*AD45-IF(AM45&gt;0;AM45;'_Настройки'!$B$9)-AP45-AC45)</f>
        <v/>
      </c>
      <c r="S45" s="3">
        <f>IF(AND(O45&gt;0;K45&gt;0);R45/K45;"")</f>
        <v/>
      </c>
      <c r="T45" s="2" t="n"/>
      <c r="U45" s="3">
        <f>IF(AND(L45&gt;0;T45&gt;0);1-T45/L45;"")</f>
        <v/>
      </c>
      <c r="V45" s="3">
        <f>'_Настройки'!$B$4</f>
        <v/>
      </c>
      <c r="Z45" s="4">
        <f>IF(AND(W45&gt;0;X45&gt;0;Y45&gt;0);W45*X45*Y45/1000;"")</f>
        <v/>
      </c>
      <c r="AB45" s="2">
        <f>('_Настройки'!$B$6+MAX(0;Z45-1)*'_Настройки'!$B$7)*IF(AA45&gt;0;AA45;'_Настройки'!$B$10)</f>
        <v/>
      </c>
      <c r="AC45" s="2">
        <f>AB45*(1+'_Настройки'!$B$8)</f>
        <v/>
      </c>
      <c r="AD45" s="3">
        <f>'_Настройки'!$B$2</f>
        <v/>
      </c>
      <c r="AE45" s="2">
        <f>L45*AD45</f>
        <v/>
      </c>
      <c r="AF45" s="3">
        <f>'_Настройки'!$B$3</f>
        <v/>
      </c>
      <c r="AG45" s="3">
        <f>IFERROR(INDEX('_Комиссия_ВБ'!$B:$B;MATCH(C45;'_Комиссия_ВБ'!$A:$A;0));0,245)</f>
        <v/>
      </c>
      <c r="AH45" s="3">
        <f>AG45+AF45</f>
        <v/>
      </c>
      <c r="AI45" s="2">
        <f>L45*AH45</f>
        <v/>
      </c>
      <c r="AJ45" s="3">
        <f>IFERROR(INDEX('_Комиссия_ВБ'!$C:$C;MATCH(C45;'_Комиссия_ВБ'!$A:$A;0));0,28)</f>
        <v/>
      </c>
      <c r="AK45" s="3">
        <f>AJ45+AF45</f>
        <v/>
      </c>
      <c r="AL45" s="2">
        <f>L45*AK45</f>
        <v/>
      </c>
      <c r="AM45" s="2" t="n"/>
      <c r="AO45" s="3">
        <f>'_Настройки'!$B$5</f>
        <v/>
      </c>
      <c r="AP45" s="2">
        <f>IF(K45&gt;0;K45*AO45;0)</f>
        <v/>
      </c>
      <c r="AQ45" s="2">
        <f>L45-K45-AI45-AE45-IF(AM45&gt;0;AM45;'_Настройки'!$B$9)-AP45-AC45</f>
        <v/>
      </c>
      <c r="AR45" s="3">
        <f>IF(L45&gt;0;AQ45/L45;"")</f>
        <v/>
      </c>
      <c r="AS45" s="3">
        <f>IF(K45&gt;0;AQ45/K45;"")</f>
        <v/>
      </c>
      <c r="AT45" s="2">
        <f>L45-K45-AL45-AE45-IF(AM45&gt;0;AM45;'_Настройки'!$B$9)-AP45-AC45</f>
        <v/>
      </c>
      <c r="AU45" s="3">
        <f>IF(L45&gt;0;AT45/L45;"")</f>
        <v/>
      </c>
      <c r="AV45" s="3">
        <f>IF(K45&gt;0;AT45/K45;"")</f>
        <v/>
      </c>
    </row>
    <row r="46">
      <c r="A46">
        <f>ROW()-1</f>
        <v/>
      </c>
      <c r="K46" s="2">
        <f>IFERROR(INDEX('_Цены_закупки'!$B:$B;MATCH(C46;'_Цены_закупки'!$A:$A;0));"")</f>
        <v/>
      </c>
      <c r="L46" s="2" t="n"/>
      <c r="M46" s="2" t="n"/>
      <c r="N46" s="3">
        <f>IF(AND(M46&gt;0;L46&gt;0);1-L46/M46;"")</f>
        <v/>
      </c>
      <c r="O46" s="2">
        <f>IF(OR(Q46="";K46=0);"";(K46+IF(AM46&gt;0;AM46;'_Настройки'!$B$9)+AP46+AC46+Q46*K46)/(1-AH46-AD46))</f>
        <v/>
      </c>
      <c r="P46" s="2">
        <f>IF(O46="";"";O46-K46-O46*AH46-O46*AD46-IF(AM46&gt;0;AM46;'_Настройки'!$B$9)-AP46-AC46)</f>
        <v/>
      </c>
      <c r="Q46" s="3">
        <f>IF(AND(O46&gt;0;K46&gt;0);P46/K46;"")</f>
        <v/>
      </c>
      <c r="R46" s="2">
        <f>IF(O46="";"";O46-K46-O46*AK46-O46*AD46-IF(AM46&gt;0;AM46;'_Настройки'!$B$9)-AP46-AC46)</f>
        <v/>
      </c>
      <c r="S46" s="3">
        <f>IF(AND(O46&gt;0;K46&gt;0);R46/K46;"")</f>
        <v/>
      </c>
      <c r="T46" s="2" t="n"/>
      <c r="U46" s="3">
        <f>IF(AND(L46&gt;0;T46&gt;0);1-T46/L46;"")</f>
        <v/>
      </c>
      <c r="V46" s="3">
        <f>'_Настройки'!$B$4</f>
        <v/>
      </c>
      <c r="Z46" s="4">
        <f>IF(AND(W46&gt;0;X46&gt;0;Y46&gt;0);W46*X46*Y46/1000;"")</f>
        <v/>
      </c>
      <c r="AB46" s="2">
        <f>('_Настройки'!$B$6+MAX(0;Z46-1)*'_Настройки'!$B$7)*IF(AA46&gt;0;AA46;'_Настройки'!$B$10)</f>
        <v/>
      </c>
      <c r="AC46" s="2">
        <f>AB46*(1+'_Настройки'!$B$8)</f>
        <v/>
      </c>
      <c r="AD46" s="3">
        <f>'_Настройки'!$B$2</f>
        <v/>
      </c>
      <c r="AE46" s="2">
        <f>L46*AD46</f>
        <v/>
      </c>
      <c r="AF46" s="3">
        <f>'_Настройки'!$B$3</f>
        <v/>
      </c>
      <c r="AG46" s="3">
        <f>IFERROR(INDEX('_Комиссия_ВБ'!$B:$B;MATCH(C46;'_Комиссия_ВБ'!$A:$A;0));0,245)</f>
        <v/>
      </c>
      <c r="AH46" s="3">
        <f>AG46+AF46</f>
        <v/>
      </c>
      <c r="AI46" s="2">
        <f>L46*AH46</f>
        <v/>
      </c>
      <c r="AJ46" s="3">
        <f>IFERROR(INDEX('_Комиссия_ВБ'!$C:$C;MATCH(C46;'_Комиссия_ВБ'!$A:$A;0));0,28)</f>
        <v/>
      </c>
      <c r="AK46" s="3">
        <f>AJ46+AF46</f>
        <v/>
      </c>
      <c r="AL46" s="2">
        <f>L46*AK46</f>
        <v/>
      </c>
      <c r="AM46" s="2" t="n"/>
      <c r="AO46" s="3">
        <f>'_Настройки'!$B$5</f>
        <v/>
      </c>
      <c r="AP46" s="2">
        <f>IF(K46&gt;0;K46*AO46;0)</f>
        <v/>
      </c>
      <c r="AQ46" s="2">
        <f>L46-K46-AI46-AE46-IF(AM46&gt;0;AM46;'_Настройки'!$B$9)-AP46-AC46</f>
        <v/>
      </c>
      <c r="AR46" s="3">
        <f>IF(L46&gt;0;AQ46/L46;"")</f>
        <v/>
      </c>
      <c r="AS46" s="3">
        <f>IF(K46&gt;0;AQ46/K46;"")</f>
        <v/>
      </c>
      <c r="AT46" s="2">
        <f>L46-K46-AL46-AE46-IF(AM46&gt;0;AM46;'_Настройки'!$B$9)-AP46-AC46</f>
        <v/>
      </c>
      <c r="AU46" s="3">
        <f>IF(L46&gt;0;AT46/L46;"")</f>
        <v/>
      </c>
      <c r="AV46" s="3">
        <f>IF(K46&gt;0;AT46/K46;"")</f>
        <v/>
      </c>
    </row>
    <row r="47">
      <c r="A47">
        <f>ROW()-1</f>
        <v/>
      </c>
      <c r="K47" s="2">
        <f>IFERROR(INDEX('_Цены_закупки'!$B:$B;MATCH(C47;'_Цены_закупки'!$A:$A;0));"")</f>
        <v/>
      </c>
      <c r="L47" s="2" t="n"/>
      <c r="M47" s="2" t="n"/>
      <c r="N47" s="3">
        <f>IF(AND(M47&gt;0;L47&gt;0);1-L47/M47;"")</f>
        <v/>
      </c>
      <c r="O47" s="2">
        <f>IF(OR(Q47="";K47=0);"";(K47+IF(AM47&gt;0;AM47;'_Настройки'!$B$9)+AP47+AC47+Q47*K47)/(1-AH47-AD47))</f>
        <v/>
      </c>
      <c r="P47" s="2">
        <f>IF(O47="";"";O47-K47-O47*AH47-O47*AD47-IF(AM47&gt;0;AM47;'_Настройки'!$B$9)-AP47-AC47)</f>
        <v/>
      </c>
      <c r="Q47" s="3">
        <f>IF(AND(O47&gt;0;K47&gt;0);P47/K47;"")</f>
        <v/>
      </c>
      <c r="R47" s="2">
        <f>IF(O47="";"";O47-K47-O47*AK47-O47*AD47-IF(AM47&gt;0;AM47;'_Настройки'!$B$9)-AP47-AC47)</f>
        <v/>
      </c>
      <c r="S47" s="3">
        <f>IF(AND(O47&gt;0;K47&gt;0);R47/K47;"")</f>
        <v/>
      </c>
      <c r="T47" s="2" t="n"/>
      <c r="U47" s="3">
        <f>IF(AND(L47&gt;0;T47&gt;0);1-T47/L47;"")</f>
        <v/>
      </c>
      <c r="V47" s="3">
        <f>'_Настройки'!$B$4</f>
        <v/>
      </c>
      <c r="Z47" s="4">
        <f>IF(AND(W47&gt;0;X47&gt;0;Y47&gt;0);W47*X47*Y47/1000;"")</f>
        <v/>
      </c>
      <c r="AB47" s="2">
        <f>('_Настройки'!$B$6+MAX(0;Z47-1)*'_Настройки'!$B$7)*IF(AA47&gt;0;AA47;'_Настройки'!$B$10)</f>
        <v/>
      </c>
      <c r="AC47" s="2">
        <f>AB47*(1+'_Настройки'!$B$8)</f>
        <v/>
      </c>
      <c r="AD47" s="3">
        <f>'_Настройки'!$B$2</f>
        <v/>
      </c>
      <c r="AE47" s="2">
        <f>L47*AD47</f>
        <v/>
      </c>
      <c r="AF47" s="3">
        <f>'_Настройки'!$B$3</f>
        <v/>
      </c>
      <c r="AG47" s="3">
        <f>IFERROR(INDEX('_Комиссия_ВБ'!$B:$B;MATCH(C47;'_Комиссия_ВБ'!$A:$A;0));0,245)</f>
        <v/>
      </c>
      <c r="AH47" s="3">
        <f>AG47+AF47</f>
        <v/>
      </c>
      <c r="AI47" s="2">
        <f>L47*AH47</f>
        <v/>
      </c>
      <c r="AJ47" s="3">
        <f>IFERROR(INDEX('_Комиссия_ВБ'!$C:$C;MATCH(C47;'_Комиссия_ВБ'!$A:$A;0));0,28)</f>
        <v/>
      </c>
      <c r="AK47" s="3">
        <f>AJ47+AF47</f>
        <v/>
      </c>
      <c r="AL47" s="2">
        <f>L47*AK47</f>
        <v/>
      </c>
      <c r="AM47" s="2" t="n"/>
      <c r="AO47" s="3">
        <f>'_Настройки'!$B$5</f>
        <v/>
      </c>
      <c r="AP47" s="2">
        <f>IF(K47&gt;0;K47*AO47;0)</f>
        <v/>
      </c>
      <c r="AQ47" s="2">
        <f>L47-K47-AI47-AE47-IF(AM47&gt;0;AM47;'_Настройки'!$B$9)-AP47-AC47</f>
        <v/>
      </c>
      <c r="AR47" s="3">
        <f>IF(L47&gt;0;AQ47/L47;"")</f>
        <v/>
      </c>
      <c r="AS47" s="3">
        <f>IF(K47&gt;0;AQ47/K47;"")</f>
        <v/>
      </c>
      <c r="AT47" s="2">
        <f>L47-K47-AL47-AE47-IF(AM47&gt;0;AM47;'_Настройки'!$B$9)-AP47-AC47</f>
        <v/>
      </c>
      <c r="AU47" s="3">
        <f>IF(L47&gt;0;AT47/L47;"")</f>
        <v/>
      </c>
      <c r="AV47" s="3">
        <f>IF(K47&gt;0;AT47/K47;"")</f>
        <v/>
      </c>
    </row>
    <row r="48">
      <c r="A48">
        <f>ROW()-1</f>
        <v/>
      </c>
      <c r="K48" s="2">
        <f>IFERROR(INDEX('_Цены_закупки'!$B:$B;MATCH(C48;'_Цены_закупки'!$A:$A;0));"")</f>
        <v/>
      </c>
      <c r="L48" s="2" t="n"/>
      <c r="M48" s="2" t="n"/>
      <c r="N48" s="3">
        <f>IF(AND(M48&gt;0;L48&gt;0);1-L48/M48;"")</f>
        <v/>
      </c>
      <c r="O48" s="2">
        <f>IF(OR(Q48="";K48=0);"";(K48+IF(AM48&gt;0;AM48;'_Настройки'!$B$9)+AP48+AC48+Q48*K48)/(1-AH48-AD48))</f>
        <v/>
      </c>
      <c r="P48" s="2">
        <f>IF(O48="";"";O48-K48-O48*AH48-O48*AD48-IF(AM48&gt;0;AM48;'_Настройки'!$B$9)-AP48-AC48)</f>
        <v/>
      </c>
      <c r="Q48" s="3">
        <f>IF(AND(O48&gt;0;K48&gt;0);P48/K48;"")</f>
        <v/>
      </c>
      <c r="R48" s="2">
        <f>IF(O48="";"";O48-K48-O48*AK48-O48*AD48-IF(AM48&gt;0;AM48;'_Настройки'!$B$9)-AP48-AC48)</f>
        <v/>
      </c>
      <c r="S48" s="3">
        <f>IF(AND(O48&gt;0;K48&gt;0);R48/K48;"")</f>
        <v/>
      </c>
      <c r="T48" s="2" t="n"/>
      <c r="U48" s="3">
        <f>IF(AND(L48&gt;0;T48&gt;0);1-T48/L48;"")</f>
        <v/>
      </c>
      <c r="V48" s="3">
        <f>'_Настройки'!$B$4</f>
        <v/>
      </c>
      <c r="Z48" s="4">
        <f>IF(AND(W48&gt;0;X48&gt;0;Y48&gt;0);W48*X48*Y48/1000;"")</f>
        <v/>
      </c>
      <c r="AB48" s="2">
        <f>('_Настройки'!$B$6+MAX(0;Z48-1)*'_Настройки'!$B$7)*IF(AA48&gt;0;AA48;'_Настройки'!$B$10)</f>
        <v/>
      </c>
      <c r="AC48" s="2">
        <f>AB48*(1+'_Настройки'!$B$8)</f>
        <v/>
      </c>
      <c r="AD48" s="3">
        <f>'_Настройки'!$B$2</f>
        <v/>
      </c>
      <c r="AE48" s="2">
        <f>L48*AD48</f>
        <v/>
      </c>
      <c r="AF48" s="3">
        <f>'_Настройки'!$B$3</f>
        <v/>
      </c>
      <c r="AG48" s="3">
        <f>IFERROR(INDEX('_Комиссия_ВБ'!$B:$B;MATCH(C48;'_Комиссия_ВБ'!$A:$A;0));0,245)</f>
        <v/>
      </c>
      <c r="AH48" s="3">
        <f>AG48+AF48</f>
        <v/>
      </c>
      <c r="AI48" s="2">
        <f>L48*AH48</f>
        <v/>
      </c>
      <c r="AJ48" s="3">
        <f>IFERROR(INDEX('_Комиссия_ВБ'!$C:$C;MATCH(C48;'_Комиссия_ВБ'!$A:$A;0));0,28)</f>
        <v/>
      </c>
      <c r="AK48" s="3">
        <f>AJ48+AF48</f>
        <v/>
      </c>
      <c r="AL48" s="2">
        <f>L48*AK48</f>
        <v/>
      </c>
      <c r="AM48" s="2" t="n"/>
      <c r="AO48" s="3">
        <f>'_Настройки'!$B$5</f>
        <v/>
      </c>
      <c r="AP48" s="2">
        <f>IF(K48&gt;0;K48*AO48;0)</f>
        <v/>
      </c>
      <c r="AQ48" s="2">
        <f>L48-K48-AI48-AE48-IF(AM48&gt;0;AM48;'_Настройки'!$B$9)-AP48-AC48</f>
        <v/>
      </c>
      <c r="AR48" s="3">
        <f>IF(L48&gt;0;AQ48/L48;"")</f>
        <v/>
      </c>
      <c r="AS48" s="3">
        <f>IF(K48&gt;0;AQ48/K48;"")</f>
        <v/>
      </c>
      <c r="AT48" s="2">
        <f>L48-K48-AL48-AE48-IF(AM48&gt;0;AM48;'_Настройки'!$B$9)-AP48-AC48</f>
        <v/>
      </c>
      <c r="AU48" s="3">
        <f>IF(L48&gt;0;AT48/L48;"")</f>
        <v/>
      </c>
      <c r="AV48" s="3">
        <f>IF(K48&gt;0;AT48/K48;"")</f>
        <v/>
      </c>
    </row>
    <row r="49">
      <c r="A49">
        <f>ROW()-1</f>
        <v/>
      </c>
      <c r="K49" s="2">
        <f>IFERROR(INDEX('_Цены_закупки'!$B:$B;MATCH(C49;'_Цены_закупки'!$A:$A;0));"")</f>
        <v/>
      </c>
      <c r="L49" s="2" t="n"/>
      <c r="M49" s="2" t="n"/>
      <c r="N49" s="3">
        <f>IF(AND(M49&gt;0;L49&gt;0);1-L49/M49;"")</f>
        <v/>
      </c>
      <c r="O49" s="2">
        <f>IF(OR(Q49="";K49=0);"";(K49+IF(AM49&gt;0;AM49;'_Настройки'!$B$9)+AP49+AC49+Q49*K49)/(1-AH49-AD49))</f>
        <v/>
      </c>
      <c r="P49" s="2">
        <f>IF(O49="";"";O49-K49-O49*AH49-O49*AD49-IF(AM49&gt;0;AM49;'_Настройки'!$B$9)-AP49-AC49)</f>
        <v/>
      </c>
      <c r="Q49" s="3">
        <f>IF(AND(O49&gt;0;K49&gt;0);P49/K49;"")</f>
        <v/>
      </c>
      <c r="R49" s="2">
        <f>IF(O49="";"";O49-K49-O49*AK49-O49*AD49-IF(AM49&gt;0;AM49;'_Настройки'!$B$9)-AP49-AC49)</f>
        <v/>
      </c>
      <c r="S49" s="3">
        <f>IF(AND(O49&gt;0;K49&gt;0);R49/K49;"")</f>
        <v/>
      </c>
      <c r="T49" s="2" t="n"/>
      <c r="U49" s="3">
        <f>IF(AND(L49&gt;0;T49&gt;0);1-T49/L49;"")</f>
        <v/>
      </c>
      <c r="V49" s="3">
        <f>'_Настройки'!$B$4</f>
        <v/>
      </c>
      <c r="Z49" s="4">
        <f>IF(AND(W49&gt;0;X49&gt;0;Y49&gt;0);W49*X49*Y49/1000;"")</f>
        <v/>
      </c>
      <c r="AB49" s="2">
        <f>('_Настройки'!$B$6+MAX(0;Z49-1)*'_Настройки'!$B$7)*IF(AA49&gt;0;AA49;'_Настройки'!$B$10)</f>
        <v/>
      </c>
      <c r="AC49" s="2">
        <f>AB49*(1+'_Настройки'!$B$8)</f>
        <v/>
      </c>
      <c r="AD49" s="3">
        <f>'_Настройки'!$B$2</f>
        <v/>
      </c>
      <c r="AE49" s="2">
        <f>L49*AD49</f>
        <v/>
      </c>
      <c r="AF49" s="3">
        <f>'_Настройки'!$B$3</f>
        <v/>
      </c>
      <c r="AG49" s="3">
        <f>IFERROR(INDEX('_Комиссия_ВБ'!$B:$B;MATCH(C49;'_Комиссия_ВБ'!$A:$A;0));0,245)</f>
        <v/>
      </c>
      <c r="AH49" s="3">
        <f>AG49+AF49</f>
        <v/>
      </c>
      <c r="AI49" s="2">
        <f>L49*AH49</f>
        <v/>
      </c>
      <c r="AJ49" s="3">
        <f>IFERROR(INDEX('_Комиссия_ВБ'!$C:$C;MATCH(C49;'_Комиссия_ВБ'!$A:$A;0));0,28)</f>
        <v/>
      </c>
      <c r="AK49" s="3">
        <f>AJ49+AF49</f>
        <v/>
      </c>
      <c r="AL49" s="2">
        <f>L49*AK49</f>
        <v/>
      </c>
      <c r="AM49" s="2" t="n"/>
      <c r="AO49" s="3">
        <f>'_Настройки'!$B$5</f>
        <v/>
      </c>
      <c r="AP49" s="2">
        <f>IF(K49&gt;0;K49*AO49;0)</f>
        <v/>
      </c>
      <c r="AQ49" s="2">
        <f>L49-K49-AI49-AE49-IF(AM49&gt;0;AM49;'_Настройки'!$B$9)-AP49-AC49</f>
        <v/>
      </c>
      <c r="AR49" s="3">
        <f>IF(L49&gt;0;AQ49/L49;"")</f>
        <v/>
      </c>
      <c r="AS49" s="3">
        <f>IF(K49&gt;0;AQ49/K49;"")</f>
        <v/>
      </c>
      <c r="AT49" s="2">
        <f>L49-K49-AL49-AE49-IF(AM49&gt;0;AM49;'_Настройки'!$B$9)-AP49-AC49</f>
        <v/>
      </c>
      <c r="AU49" s="3">
        <f>IF(L49&gt;0;AT49/L49;"")</f>
        <v/>
      </c>
      <c r="AV49" s="3">
        <f>IF(K49&gt;0;AT49/K49;"")</f>
        <v/>
      </c>
    </row>
    <row r="50">
      <c r="A50">
        <f>ROW()-1</f>
        <v/>
      </c>
      <c r="K50" s="2">
        <f>IFERROR(INDEX('_Цены_закупки'!$B:$B;MATCH(C50;'_Цены_закупки'!$A:$A;0));"")</f>
        <v/>
      </c>
      <c r="L50" s="2" t="n"/>
      <c r="M50" s="2" t="n"/>
      <c r="N50" s="3">
        <f>IF(AND(M50&gt;0;L50&gt;0);1-L50/M50;"")</f>
        <v/>
      </c>
      <c r="O50" s="2">
        <f>IF(OR(Q50="";K50=0);"";(K50+IF(AM50&gt;0;AM50;'_Настройки'!$B$9)+AP50+AC50+Q50*K50)/(1-AH50-AD50))</f>
        <v/>
      </c>
      <c r="P50" s="2">
        <f>IF(O50="";"";O50-K50-O50*AH50-O50*AD50-IF(AM50&gt;0;AM50;'_Настройки'!$B$9)-AP50-AC50)</f>
        <v/>
      </c>
      <c r="Q50" s="3">
        <f>IF(AND(O50&gt;0;K50&gt;0);P50/K50;"")</f>
        <v/>
      </c>
      <c r="R50" s="2">
        <f>IF(O50="";"";O50-K50-O50*AK50-O50*AD50-IF(AM50&gt;0;AM50;'_Настройки'!$B$9)-AP50-AC50)</f>
        <v/>
      </c>
      <c r="S50" s="3">
        <f>IF(AND(O50&gt;0;K50&gt;0);R50/K50;"")</f>
        <v/>
      </c>
      <c r="T50" s="2" t="n"/>
      <c r="U50" s="3">
        <f>IF(AND(L50&gt;0;T50&gt;0);1-T50/L50;"")</f>
        <v/>
      </c>
      <c r="V50" s="3">
        <f>'_Настройки'!$B$4</f>
        <v/>
      </c>
      <c r="Z50" s="4">
        <f>IF(AND(W50&gt;0;X50&gt;0;Y50&gt;0);W50*X50*Y50/1000;"")</f>
        <v/>
      </c>
      <c r="AB50" s="2">
        <f>('_Настройки'!$B$6+MAX(0;Z50-1)*'_Настройки'!$B$7)*IF(AA50&gt;0;AA50;'_Настройки'!$B$10)</f>
        <v/>
      </c>
      <c r="AC50" s="2">
        <f>AB50*(1+'_Настройки'!$B$8)</f>
        <v/>
      </c>
      <c r="AD50" s="3">
        <f>'_Настройки'!$B$2</f>
        <v/>
      </c>
      <c r="AE50" s="2">
        <f>L50*AD50</f>
        <v/>
      </c>
      <c r="AF50" s="3">
        <f>'_Настройки'!$B$3</f>
        <v/>
      </c>
      <c r="AG50" s="3">
        <f>IFERROR(INDEX('_Комиссия_ВБ'!$B:$B;MATCH(C50;'_Комиссия_ВБ'!$A:$A;0));0,245)</f>
        <v/>
      </c>
      <c r="AH50" s="3">
        <f>AG50+AF50</f>
        <v/>
      </c>
      <c r="AI50" s="2">
        <f>L50*AH50</f>
        <v/>
      </c>
      <c r="AJ50" s="3">
        <f>IFERROR(INDEX('_Комиссия_ВБ'!$C:$C;MATCH(C50;'_Комиссия_ВБ'!$A:$A;0));0,28)</f>
        <v/>
      </c>
      <c r="AK50" s="3">
        <f>AJ50+AF50</f>
        <v/>
      </c>
      <c r="AL50" s="2">
        <f>L50*AK50</f>
        <v/>
      </c>
      <c r="AM50" s="2" t="n"/>
      <c r="AO50" s="3">
        <f>'_Настройки'!$B$5</f>
        <v/>
      </c>
      <c r="AP50" s="2">
        <f>IF(K50&gt;0;K50*AO50;0)</f>
        <v/>
      </c>
      <c r="AQ50" s="2">
        <f>L50-K50-AI50-AE50-IF(AM50&gt;0;AM50;'_Настройки'!$B$9)-AP50-AC50</f>
        <v/>
      </c>
      <c r="AR50" s="3">
        <f>IF(L50&gt;0;AQ50/L50;"")</f>
        <v/>
      </c>
      <c r="AS50" s="3">
        <f>IF(K50&gt;0;AQ50/K50;"")</f>
        <v/>
      </c>
      <c r="AT50" s="2">
        <f>L50-K50-AL50-AE50-IF(AM50&gt;0;AM50;'_Настройки'!$B$9)-AP50-AC50</f>
        <v/>
      </c>
      <c r="AU50" s="3">
        <f>IF(L50&gt;0;AT50/L50;"")</f>
        <v/>
      </c>
      <c r="AV50" s="3">
        <f>IF(K50&gt;0;AT50/K50;"")</f>
        <v/>
      </c>
    </row>
    <row r="51">
      <c r="A51">
        <f>ROW()-1</f>
        <v/>
      </c>
      <c r="K51" s="2">
        <f>IFERROR(INDEX('_Цены_закупки'!$B:$B;MATCH(C51;'_Цены_закупки'!$A:$A;0));"")</f>
        <v/>
      </c>
      <c r="L51" s="2" t="n"/>
      <c r="M51" s="2" t="n"/>
      <c r="N51" s="3">
        <f>IF(AND(M51&gt;0;L51&gt;0);1-L51/M51;"")</f>
        <v/>
      </c>
      <c r="O51" s="2">
        <f>IF(OR(Q51="";K51=0);"";(K51+IF(AM51&gt;0;AM51;'_Настройки'!$B$9)+AP51+AC51+Q51*K51)/(1-AH51-AD51))</f>
        <v/>
      </c>
      <c r="P51" s="2">
        <f>IF(O51="";"";O51-K51-O51*AH51-O51*AD51-IF(AM51&gt;0;AM51;'_Настройки'!$B$9)-AP51-AC51)</f>
        <v/>
      </c>
      <c r="Q51" s="3">
        <f>IF(AND(O51&gt;0;K51&gt;0);P51/K51;"")</f>
        <v/>
      </c>
      <c r="R51" s="2">
        <f>IF(O51="";"";O51-K51-O51*AK51-O51*AD51-IF(AM51&gt;0;AM51;'_Настройки'!$B$9)-AP51-AC51)</f>
        <v/>
      </c>
      <c r="S51" s="3">
        <f>IF(AND(O51&gt;0;K51&gt;0);R51/K51;"")</f>
        <v/>
      </c>
      <c r="T51" s="2" t="n"/>
      <c r="U51" s="3">
        <f>IF(AND(L51&gt;0;T51&gt;0);1-T51/L51;"")</f>
        <v/>
      </c>
      <c r="V51" s="3">
        <f>'_Настройки'!$B$4</f>
        <v/>
      </c>
      <c r="Z51" s="4">
        <f>IF(AND(W51&gt;0;X51&gt;0;Y51&gt;0);W51*X51*Y51/1000;"")</f>
        <v/>
      </c>
      <c r="AB51" s="2">
        <f>('_Настройки'!$B$6+MAX(0;Z51-1)*'_Настройки'!$B$7)*IF(AA51&gt;0;AA51;'_Настройки'!$B$10)</f>
        <v/>
      </c>
      <c r="AC51" s="2">
        <f>AB51*(1+'_Настройки'!$B$8)</f>
        <v/>
      </c>
      <c r="AD51" s="3">
        <f>'_Настройки'!$B$2</f>
        <v/>
      </c>
      <c r="AE51" s="2">
        <f>L51*AD51</f>
        <v/>
      </c>
      <c r="AF51" s="3">
        <f>'_Настройки'!$B$3</f>
        <v/>
      </c>
      <c r="AG51" s="3">
        <f>IFERROR(INDEX('_Комиссия_ВБ'!$B:$B;MATCH(C51;'_Комиссия_ВБ'!$A:$A;0));0,245)</f>
        <v/>
      </c>
      <c r="AH51" s="3">
        <f>AG51+AF51</f>
        <v/>
      </c>
      <c r="AI51" s="2">
        <f>L51*AH51</f>
        <v/>
      </c>
      <c r="AJ51" s="3">
        <f>IFERROR(INDEX('_Комиссия_ВБ'!$C:$C;MATCH(C51;'_Комиссия_ВБ'!$A:$A;0));0,28)</f>
        <v/>
      </c>
      <c r="AK51" s="3">
        <f>AJ51+AF51</f>
        <v/>
      </c>
      <c r="AL51" s="2">
        <f>L51*AK51</f>
        <v/>
      </c>
      <c r="AM51" s="2" t="n"/>
      <c r="AO51" s="3">
        <f>'_Настройки'!$B$5</f>
        <v/>
      </c>
      <c r="AP51" s="2">
        <f>IF(K51&gt;0;K51*AO51;0)</f>
        <v/>
      </c>
      <c r="AQ51" s="2">
        <f>L51-K51-AI51-AE51-IF(AM51&gt;0;AM51;'_Настройки'!$B$9)-AP51-AC51</f>
        <v/>
      </c>
      <c r="AR51" s="3">
        <f>IF(L51&gt;0;AQ51/L51;"")</f>
        <v/>
      </c>
      <c r="AS51" s="3">
        <f>IF(K51&gt;0;AQ51/K51;"")</f>
        <v/>
      </c>
      <c r="AT51" s="2">
        <f>L51-K51-AL51-AE51-IF(AM51&gt;0;AM51;'_Настройки'!$B$9)-AP51-AC51</f>
        <v/>
      </c>
      <c r="AU51" s="3">
        <f>IF(L51&gt;0;AT51/L51;"")</f>
        <v/>
      </c>
      <c r="AV51" s="3">
        <f>IF(K51&gt;0;AT51/K51;"")</f>
        <v/>
      </c>
    </row>
    <row r="52">
      <c r="A52">
        <f>ROW()-1</f>
        <v/>
      </c>
      <c r="K52" s="2">
        <f>IFERROR(INDEX('_Цены_закупки'!$B:$B;MATCH(C52;'_Цены_закупки'!$A:$A;0));"")</f>
        <v/>
      </c>
      <c r="L52" s="2" t="n"/>
      <c r="M52" s="2" t="n"/>
      <c r="N52" s="3">
        <f>IF(AND(M52&gt;0;L52&gt;0);1-L52/M52;"")</f>
        <v/>
      </c>
      <c r="O52" s="2">
        <f>IF(OR(Q52="";K52=0);"";(K52+IF(AM52&gt;0;AM52;'_Настройки'!$B$9)+AP52+AC52+Q52*K52)/(1-AH52-AD52))</f>
        <v/>
      </c>
      <c r="P52" s="2">
        <f>IF(O52="";"";O52-K52-O52*AH52-O52*AD52-IF(AM52&gt;0;AM52;'_Настройки'!$B$9)-AP52-AC52)</f>
        <v/>
      </c>
      <c r="Q52" s="3">
        <f>IF(AND(O52&gt;0;K52&gt;0);P52/K52;"")</f>
        <v/>
      </c>
      <c r="R52" s="2">
        <f>IF(O52="";"";O52-K52-O52*AK52-O52*AD52-IF(AM52&gt;0;AM52;'_Настройки'!$B$9)-AP52-AC52)</f>
        <v/>
      </c>
      <c r="S52" s="3">
        <f>IF(AND(O52&gt;0;K52&gt;0);R52/K52;"")</f>
        <v/>
      </c>
      <c r="T52" s="2" t="n"/>
      <c r="U52" s="3">
        <f>IF(AND(L52&gt;0;T52&gt;0);1-T52/L52;"")</f>
        <v/>
      </c>
      <c r="V52" s="3">
        <f>'_Настройки'!$B$4</f>
        <v/>
      </c>
      <c r="Z52" s="4">
        <f>IF(AND(W52&gt;0;X52&gt;0;Y52&gt;0);W52*X52*Y52/1000;"")</f>
        <v/>
      </c>
      <c r="AB52" s="2">
        <f>('_Настройки'!$B$6+MAX(0;Z52-1)*'_Настройки'!$B$7)*IF(AA52&gt;0;AA52;'_Настройки'!$B$10)</f>
        <v/>
      </c>
      <c r="AC52" s="2">
        <f>AB52*(1+'_Настройки'!$B$8)</f>
        <v/>
      </c>
      <c r="AD52" s="3">
        <f>'_Настройки'!$B$2</f>
        <v/>
      </c>
      <c r="AE52" s="2">
        <f>L52*AD52</f>
        <v/>
      </c>
      <c r="AF52" s="3">
        <f>'_Настройки'!$B$3</f>
        <v/>
      </c>
      <c r="AG52" s="3">
        <f>IFERROR(INDEX('_Комиссия_ВБ'!$B:$B;MATCH(C52;'_Комиссия_ВБ'!$A:$A;0));0,245)</f>
        <v/>
      </c>
      <c r="AH52" s="3">
        <f>AG52+AF52</f>
        <v/>
      </c>
      <c r="AI52" s="2">
        <f>L52*AH52</f>
        <v/>
      </c>
      <c r="AJ52" s="3">
        <f>IFERROR(INDEX('_Комиссия_ВБ'!$C:$C;MATCH(C52;'_Комиссия_ВБ'!$A:$A;0));0,28)</f>
        <v/>
      </c>
      <c r="AK52" s="3">
        <f>AJ52+AF52</f>
        <v/>
      </c>
      <c r="AL52" s="2">
        <f>L52*AK52</f>
        <v/>
      </c>
      <c r="AM52" s="2" t="n"/>
      <c r="AO52" s="3">
        <f>'_Настройки'!$B$5</f>
        <v/>
      </c>
      <c r="AP52" s="2">
        <f>IF(K52&gt;0;K52*AO52;0)</f>
        <v/>
      </c>
      <c r="AQ52" s="2">
        <f>L52-K52-AI52-AE52-IF(AM52&gt;0;AM52;'_Настройки'!$B$9)-AP52-AC52</f>
        <v/>
      </c>
      <c r="AR52" s="3">
        <f>IF(L52&gt;0;AQ52/L52;"")</f>
        <v/>
      </c>
      <c r="AS52" s="3">
        <f>IF(K52&gt;0;AQ52/K52;"")</f>
        <v/>
      </c>
      <c r="AT52" s="2">
        <f>L52-K52-AL52-AE52-IF(AM52&gt;0;AM52;'_Настройки'!$B$9)-AP52-AC52</f>
        <v/>
      </c>
      <c r="AU52" s="3">
        <f>IF(L52&gt;0;AT52/L52;"")</f>
        <v/>
      </c>
      <c r="AV52" s="3">
        <f>IF(K52&gt;0;AT52/K52;"")</f>
        <v/>
      </c>
    </row>
    <row r="53">
      <c r="A53">
        <f>ROW()-1</f>
        <v/>
      </c>
      <c r="K53" s="2">
        <f>IFERROR(INDEX('_Цены_закупки'!$B:$B;MATCH(C53;'_Цены_закупки'!$A:$A;0));"")</f>
        <v/>
      </c>
      <c r="L53" s="2" t="n"/>
      <c r="M53" s="2" t="n"/>
      <c r="N53" s="3">
        <f>IF(AND(M53&gt;0;L53&gt;0);1-L53/M53;"")</f>
        <v/>
      </c>
      <c r="O53" s="2">
        <f>IF(OR(Q53="";K53=0);"";(K53+IF(AM53&gt;0;AM53;'_Настройки'!$B$9)+AP53+AC53+Q53*K53)/(1-AH53-AD53))</f>
        <v/>
      </c>
      <c r="P53" s="2">
        <f>IF(O53="";"";O53-K53-O53*AH53-O53*AD53-IF(AM53&gt;0;AM53;'_Настройки'!$B$9)-AP53-AC53)</f>
        <v/>
      </c>
      <c r="Q53" s="3">
        <f>IF(AND(O53&gt;0;K53&gt;0);P53/K53;"")</f>
        <v/>
      </c>
      <c r="R53" s="2">
        <f>IF(O53="";"";O53-K53-O53*AK53-O53*AD53-IF(AM53&gt;0;AM53;'_Настройки'!$B$9)-AP53-AC53)</f>
        <v/>
      </c>
      <c r="S53" s="3">
        <f>IF(AND(O53&gt;0;K53&gt;0);R53/K53;"")</f>
        <v/>
      </c>
      <c r="T53" s="2" t="n"/>
      <c r="U53" s="3">
        <f>IF(AND(L53&gt;0;T53&gt;0);1-T53/L53;"")</f>
        <v/>
      </c>
      <c r="V53" s="3">
        <f>'_Настройки'!$B$4</f>
        <v/>
      </c>
      <c r="Z53" s="4">
        <f>IF(AND(W53&gt;0;X53&gt;0;Y53&gt;0);W53*X53*Y53/1000;"")</f>
        <v/>
      </c>
      <c r="AB53" s="2">
        <f>('_Настройки'!$B$6+MAX(0;Z53-1)*'_Настройки'!$B$7)*IF(AA53&gt;0;AA53;'_Настройки'!$B$10)</f>
        <v/>
      </c>
      <c r="AC53" s="2">
        <f>AB53*(1+'_Настройки'!$B$8)</f>
        <v/>
      </c>
      <c r="AD53" s="3">
        <f>'_Настройки'!$B$2</f>
        <v/>
      </c>
      <c r="AE53" s="2">
        <f>L53*AD53</f>
        <v/>
      </c>
      <c r="AF53" s="3">
        <f>'_Настройки'!$B$3</f>
        <v/>
      </c>
      <c r="AG53" s="3">
        <f>IFERROR(INDEX('_Комиссия_ВБ'!$B:$B;MATCH(C53;'_Комиссия_ВБ'!$A:$A;0));0,245)</f>
        <v/>
      </c>
      <c r="AH53" s="3">
        <f>AG53+AF53</f>
        <v/>
      </c>
      <c r="AI53" s="2">
        <f>L53*AH53</f>
        <v/>
      </c>
      <c r="AJ53" s="3">
        <f>IFERROR(INDEX('_Комиссия_ВБ'!$C:$C;MATCH(C53;'_Комиссия_ВБ'!$A:$A;0));0,28)</f>
        <v/>
      </c>
      <c r="AK53" s="3">
        <f>AJ53+AF53</f>
        <v/>
      </c>
      <c r="AL53" s="2">
        <f>L53*AK53</f>
        <v/>
      </c>
      <c r="AM53" s="2" t="n"/>
      <c r="AO53" s="3">
        <f>'_Настройки'!$B$5</f>
        <v/>
      </c>
      <c r="AP53" s="2">
        <f>IF(K53&gt;0;K53*AO53;0)</f>
        <v/>
      </c>
      <c r="AQ53" s="2">
        <f>L53-K53-AI53-AE53-IF(AM53&gt;0;AM53;'_Настройки'!$B$9)-AP53-AC53</f>
        <v/>
      </c>
      <c r="AR53" s="3">
        <f>IF(L53&gt;0;AQ53/L53;"")</f>
        <v/>
      </c>
      <c r="AS53" s="3">
        <f>IF(K53&gt;0;AQ53/K53;"")</f>
        <v/>
      </c>
      <c r="AT53" s="2">
        <f>L53-K53-AL53-AE53-IF(AM53&gt;0;AM53;'_Настройки'!$B$9)-AP53-AC53</f>
        <v/>
      </c>
      <c r="AU53" s="3">
        <f>IF(L53&gt;0;AT53/L53;"")</f>
        <v/>
      </c>
      <c r="AV53" s="3">
        <f>IF(K53&gt;0;AT53/K53;"")</f>
        <v/>
      </c>
    </row>
    <row r="54">
      <c r="A54">
        <f>ROW()-1</f>
        <v/>
      </c>
      <c r="K54" s="2">
        <f>IFERROR(INDEX('_Цены_закупки'!$B:$B;MATCH(C54;'_Цены_закупки'!$A:$A;0));"")</f>
        <v/>
      </c>
      <c r="L54" s="2" t="n"/>
      <c r="M54" s="2" t="n"/>
      <c r="N54" s="3">
        <f>IF(AND(M54&gt;0;L54&gt;0);1-L54/M54;"")</f>
        <v/>
      </c>
      <c r="O54" s="2">
        <f>IF(OR(Q54="";K54=0);"";(K54+IF(AM54&gt;0;AM54;'_Настройки'!$B$9)+AP54+AC54+Q54*K54)/(1-AH54-AD54))</f>
        <v/>
      </c>
      <c r="P54" s="2">
        <f>IF(O54="";"";O54-K54-O54*AH54-O54*AD54-IF(AM54&gt;0;AM54;'_Настройки'!$B$9)-AP54-AC54)</f>
        <v/>
      </c>
      <c r="Q54" s="3">
        <f>IF(AND(O54&gt;0;K54&gt;0);P54/K54;"")</f>
        <v/>
      </c>
      <c r="R54" s="2">
        <f>IF(O54="";"";O54-K54-O54*AK54-O54*AD54-IF(AM54&gt;0;AM54;'_Настройки'!$B$9)-AP54-AC54)</f>
        <v/>
      </c>
      <c r="S54" s="3">
        <f>IF(AND(O54&gt;0;K54&gt;0);R54/K54;"")</f>
        <v/>
      </c>
      <c r="T54" s="2" t="n"/>
      <c r="U54" s="3">
        <f>IF(AND(L54&gt;0;T54&gt;0);1-T54/L54;"")</f>
        <v/>
      </c>
      <c r="V54" s="3">
        <f>'_Настройки'!$B$4</f>
        <v/>
      </c>
      <c r="Z54" s="4">
        <f>IF(AND(W54&gt;0;X54&gt;0;Y54&gt;0);W54*X54*Y54/1000;"")</f>
        <v/>
      </c>
      <c r="AB54" s="2">
        <f>('_Настройки'!$B$6+MAX(0;Z54-1)*'_Настройки'!$B$7)*IF(AA54&gt;0;AA54;'_Настройки'!$B$10)</f>
        <v/>
      </c>
      <c r="AC54" s="2">
        <f>AB54*(1+'_Настройки'!$B$8)</f>
        <v/>
      </c>
      <c r="AD54" s="3">
        <f>'_Настройки'!$B$2</f>
        <v/>
      </c>
      <c r="AE54" s="2">
        <f>L54*AD54</f>
        <v/>
      </c>
      <c r="AF54" s="3">
        <f>'_Настройки'!$B$3</f>
        <v/>
      </c>
      <c r="AG54" s="3">
        <f>IFERROR(INDEX('_Комиссия_ВБ'!$B:$B;MATCH(C54;'_Комиссия_ВБ'!$A:$A;0));0,245)</f>
        <v/>
      </c>
      <c r="AH54" s="3">
        <f>AG54+AF54</f>
        <v/>
      </c>
      <c r="AI54" s="2">
        <f>L54*AH54</f>
        <v/>
      </c>
      <c r="AJ54" s="3">
        <f>IFERROR(INDEX('_Комиссия_ВБ'!$C:$C;MATCH(C54;'_Комиссия_ВБ'!$A:$A;0));0,28)</f>
        <v/>
      </c>
      <c r="AK54" s="3">
        <f>AJ54+AF54</f>
        <v/>
      </c>
      <c r="AL54" s="2">
        <f>L54*AK54</f>
        <v/>
      </c>
      <c r="AM54" s="2" t="n"/>
      <c r="AO54" s="3">
        <f>'_Настройки'!$B$5</f>
        <v/>
      </c>
      <c r="AP54" s="2">
        <f>IF(K54&gt;0;K54*AO54;0)</f>
        <v/>
      </c>
      <c r="AQ54" s="2">
        <f>L54-K54-AI54-AE54-IF(AM54&gt;0;AM54;'_Настройки'!$B$9)-AP54-AC54</f>
        <v/>
      </c>
      <c r="AR54" s="3">
        <f>IF(L54&gt;0;AQ54/L54;"")</f>
        <v/>
      </c>
      <c r="AS54" s="3">
        <f>IF(K54&gt;0;AQ54/K54;"")</f>
        <v/>
      </c>
      <c r="AT54" s="2">
        <f>L54-K54-AL54-AE54-IF(AM54&gt;0;AM54;'_Настройки'!$B$9)-AP54-AC54</f>
        <v/>
      </c>
      <c r="AU54" s="3">
        <f>IF(L54&gt;0;AT54/L54;"")</f>
        <v/>
      </c>
      <c r="AV54" s="3">
        <f>IF(K54&gt;0;AT54/K54;"")</f>
        <v/>
      </c>
    </row>
    <row r="55">
      <c r="A55">
        <f>ROW()-1</f>
        <v/>
      </c>
      <c r="K55" s="2">
        <f>IFERROR(INDEX('_Цены_закупки'!$B:$B;MATCH(C55;'_Цены_закупки'!$A:$A;0));"")</f>
        <v/>
      </c>
      <c r="L55" s="2" t="n"/>
      <c r="M55" s="2" t="n"/>
      <c r="N55" s="3">
        <f>IF(AND(M55&gt;0;L55&gt;0);1-L55/M55;"")</f>
        <v/>
      </c>
      <c r="O55" s="2">
        <f>IF(OR(Q55="";K55=0);"";(K55+IF(AM55&gt;0;AM55;'_Настройки'!$B$9)+AP55+AC55+Q55*K55)/(1-AH55-AD55))</f>
        <v/>
      </c>
      <c r="P55" s="2">
        <f>IF(O55="";"";O55-K55-O55*AH55-O55*AD55-IF(AM55&gt;0;AM55;'_Настройки'!$B$9)-AP55-AC55)</f>
        <v/>
      </c>
      <c r="Q55" s="3">
        <f>IF(AND(O55&gt;0;K55&gt;0);P55/K55;"")</f>
        <v/>
      </c>
      <c r="R55" s="2">
        <f>IF(O55="";"";O55-K55-O55*AK55-O55*AD55-IF(AM55&gt;0;AM55;'_Настройки'!$B$9)-AP55-AC55)</f>
        <v/>
      </c>
      <c r="S55" s="3">
        <f>IF(AND(O55&gt;0;K55&gt;0);R55/K55;"")</f>
        <v/>
      </c>
      <c r="T55" s="2" t="n"/>
      <c r="U55" s="3">
        <f>IF(AND(L55&gt;0;T55&gt;0);1-T55/L55;"")</f>
        <v/>
      </c>
      <c r="V55" s="3">
        <f>'_Настройки'!$B$4</f>
        <v/>
      </c>
      <c r="Z55" s="4">
        <f>IF(AND(W55&gt;0;X55&gt;0;Y55&gt;0);W55*X55*Y55/1000;"")</f>
        <v/>
      </c>
      <c r="AB55" s="2">
        <f>('_Настройки'!$B$6+MAX(0;Z55-1)*'_Настройки'!$B$7)*IF(AA55&gt;0;AA55;'_Настройки'!$B$10)</f>
        <v/>
      </c>
      <c r="AC55" s="2">
        <f>AB55*(1+'_Настройки'!$B$8)</f>
        <v/>
      </c>
      <c r="AD55" s="3">
        <f>'_Настройки'!$B$2</f>
        <v/>
      </c>
      <c r="AE55" s="2">
        <f>L55*AD55</f>
        <v/>
      </c>
      <c r="AF55" s="3">
        <f>'_Настройки'!$B$3</f>
        <v/>
      </c>
      <c r="AG55" s="3">
        <f>IFERROR(INDEX('_Комиссия_ВБ'!$B:$B;MATCH(C55;'_Комиссия_ВБ'!$A:$A;0));0,245)</f>
        <v/>
      </c>
      <c r="AH55" s="3">
        <f>AG55+AF55</f>
        <v/>
      </c>
      <c r="AI55" s="2">
        <f>L55*AH55</f>
        <v/>
      </c>
      <c r="AJ55" s="3">
        <f>IFERROR(INDEX('_Комиссия_ВБ'!$C:$C;MATCH(C55;'_Комиссия_ВБ'!$A:$A;0));0,28)</f>
        <v/>
      </c>
      <c r="AK55" s="3">
        <f>AJ55+AF55</f>
        <v/>
      </c>
      <c r="AL55" s="2">
        <f>L55*AK55</f>
        <v/>
      </c>
      <c r="AM55" s="2" t="n"/>
      <c r="AO55" s="3">
        <f>'_Настройки'!$B$5</f>
        <v/>
      </c>
      <c r="AP55" s="2">
        <f>IF(K55&gt;0;K55*AO55;0)</f>
        <v/>
      </c>
      <c r="AQ55" s="2">
        <f>L55-K55-AI55-AE55-IF(AM55&gt;0;AM55;'_Настройки'!$B$9)-AP55-AC55</f>
        <v/>
      </c>
      <c r="AR55" s="3">
        <f>IF(L55&gt;0;AQ55/L55;"")</f>
        <v/>
      </c>
      <c r="AS55" s="3">
        <f>IF(K55&gt;0;AQ55/K55;"")</f>
        <v/>
      </c>
      <c r="AT55" s="2">
        <f>L55-K55-AL55-AE55-IF(AM55&gt;0;AM55;'_Настройки'!$B$9)-AP55-AC55</f>
        <v/>
      </c>
      <c r="AU55" s="3">
        <f>IF(L55&gt;0;AT55/L55;"")</f>
        <v/>
      </c>
      <c r="AV55" s="3">
        <f>IF(K55&gt;0;AT55/K55;"")</f>
        <v/>
      </c>
    </row>
    <row r="56">
      <c r="A56">
        <f>ROW()-1</f>
        <v/>
      </c>
      <c r="K56" s="2">
        <f>IFERROR(INDEX('_Цены_закупки'!$B:$B;MATCH(C56;'_Цены_закупки'!$A:$A;0));"")</f>
        <v/>
      </c>
      <c r="L56" s="2" t="n"/>
      <c r="M56" s="2" t="n"/>
      <c r="N56" s="3">
        <f>IF(AND(M56&gt;0;L56&gt;0);1-L56/M56;"")</f>
        <v/>
      </c>
      <c r="O56" s="2">
        <f>IF(OR(Q56="";K56=0);"";(K56+IF(AM56&gt;0;AM56;'_Настройки'!$B$9)+AP56+AC56+Q56*K56)/(1-AH56-AD56))</f>
        <v/>
      </c>
      <c r="P56" s="2">
        <f>IF(O56="";"";O56-K56-O56*AH56-O56*AD56-IF(AM56&gt;0;AM56;'_Настройки'!$B$9)-AP56-AC56)</f>
        <v/>
      </c>
      <c r="Q56" s="3">
        <f>IF(AND(O56&gt;0;K56&gt;0);P56/K56;"")</f>
        <v/>
      </c>
      <c r="R56" s="2">
        <f>IF(O56="";"";O56-K56-O56*AK56-O56*AD56-IF(AM56&gt;0;AM56;'_Настройки'!$B$9)-AP56-AC56)</f>
        <v/>
      </c>
      <c r="S56" s="3">
        <f>IF(AND(O56&gt;0;K56&gt;0);R56/K56;"")</f>
        <v/>
      </c>
      <c r="T56" s="2" t="n"/>
      <c r="U56" s="3">
        <f>IF(AND(L56&gt;0;T56&gt;0);1-T56/L56;"")</f>
        <v/>
      </c>
      <c r="V56" s="3">
        <f>'_Настройки'!$B$4</f>
        <v/>
      </c>
      <c r="Z56" s="4">
        <f>IF(AND(W56&gt;0;X56&gt;0;Y56&gt;0);W56*X56*Y56/1000;"")</f>
        <v/>
      </c>
      <c r="AB56" s="2">
        <f>('_Настройки'!$B$6+MAX(0;Z56-1)*'_Настройки'!$B$7)*IF(AA56&gt;0;AA56;'_Настройки'!$B$10)</f>
        <v/>
      </c>
      <c r="AC56" s="2">
        <f>AB56*(1+'_Настройки'!$B$8)</f>
        <v/>
      </c>
      <c r="AD56" s="3">
        <f>'_Настройки'!$B$2</f>
        <v/>
      </c>
      <c r="AE56" s="2">
        <f>L56*AD56</f>
        <v/>
      </c>
      <c r="AF56" s="3">
        <f>'_Настройки'!$B$3</f>
        <v/>
      </c>
      <c r="AG56" s="3">
        <f>IFERROR(INDEX('_Комиссия_ВБ'!$B:$B;MATCH(C56;'_Комиссия_ВБ'!$A:$A;0));0,245)</f>
        <v/>
      </c>
      <c r="AH56" s="3">
        <f>AG56+AF56</f>
        <v/>
      </c>
      <c r="AI56" s="2">
        <f>L56*AH56</f>
        <v/>
      </c>
      <c r="AJ56" s="3">
        <f>IFERROR(INDEX('_Комиссия_ВБ'!$C:$C;MATCH(C56;'_Комиссия_ВБ'!$A:$A;0));0,28)</f>
        <v/>
      </c>
      <c r="AK56" s="3">
        <f>AJ56+AF56</f>
        <v/>
      </c>
      <c r="AL56" s="2">
        <f>L56*AK56</f>
        <v/>
      </c>
      <c r="AM56" s="2" t="n"/>
      <c r="AO56" s="3">
        <f>'_Настройки'!$B$5</f>
        <v/>
      </c>
      <c r="AP56" s="2">
        <f>IF(K56&gt;0;K56*AO56;0)</f>
        <v/>
      </c>
      <c r="AQ56" s="2">
        <f>L56-K56-AI56-AE56-IF(AM56&gt;0;AM56;'_Настройки'!$B$9)-AP56-AC56</f>
        <v/>
      </c>
      <c r="AR56" s="3">
        <f>IF(L56&gt;0;AQ56/L56;"")</f>
        <v/>
      </c>
      <c r="AS56" s="3">
        <f>IF(K56&gt;0;AQ56/K56;"")</f>
        <v/>
      </c>
      <c r="AT56" s="2">
        <f>L56-K56-AL56-AE56-IF(AM56&gt;0;AM56;'_Настройки'!$B$9)-AP56-AC56</f>
        <v/>
      </c>
      <c r="AU56" s="3">
        <f>IF(L56&gt;0;AT56/L56;"")</f>
        <v/>
      </c>
      <c r="AV56" s="3">
        <f>IF(K56&gt;0;AT56/K56;"")</f>
        <v/>
      </c>
    </row>
    <row r="57">
      <c r="A57">
        <f>ROW()-1</f>
        <v/>
      </c>
      <c r="K57" s="2">
        <f>IFERROR(INDEX('_Цены_закупки'!$B:$B;MATCH(C57;'_Цены_закупки'!$A:$A;0));"")</f>
        <v/>
      </c>
      <c r="L57" s="2" t="n"/>
      <c r="M57" s="2" t="n"/>
      <c r="N57" s="3">
        <f>IF(AND(M57&gt;0;L57&gt;0);1-L57/M57;"")</f>
        <v/>
      </c>
      <c r="O57" s="2">
        <f>IF(OR(Q57="";K57=0);"";(K57+IF(AM57&gt;0;AM57;'_Настройки'!$B$9)+AP57+AC57+Q57*K57)/(1-AH57-AD57))</f>
        <v/>
      </c>
      <c r="P57" s="2">
        <f>IF(O57="";"";O57-K57-O57*AH57-O57*AD57-IF(AM57&gt;0;AM57;'_Настройки'!$B$9)-AP57-AC57)</f>
        <v/>
      </c>
      <c r="Q57" s="3">
        <f>IF(AND(O57&gt;0;K57&gt;0);P57/K57;"")</f>
        <v/>
      </c>
      <c r="R57" s="2">
        <f>IF(O57="";"";O57-K57-O57*AK57-O57*AD57-IF(AM57&gt;0;AM57;'_Настройки'!$B$9)-AP57-AC57)</f>
        <v/>
      </c>
      <c r="S57" s="3">
        <f>IF(AND(O57&gt;0;K57&gt;0);R57/K57;"")</f>
        <v/>
      </c>
      <c r="T57" s="2" t="n"/>
      <c r="U57" s="3">
        <f>IF(AND(L57&gt;0;T57&gt;0);1-T57/L57;"")</f>
        <v/>
      </c>
      <c r="V57" s="3">
        <f>'_Настройки'!$B$4</f>
        <v/>
      </c>
      <c r="Z57" s="4">
        <f>IF(AND(W57&gt;0;X57&gt;0;Y57&gt;0);W57*X57*Y57/1000;"")</f>
        <v/>
      </c>
      <c r="AB57" s="2">
        <f>('_Настройки'!$B$6+MAX(0;Z57-1)*'_Настройки'!$B$7)*IF(AA57&gt;0;AA57;'_Настройки'!$B$10)</f>
        <v/>
      </c>
      <c r="AC57" s="2">
        <f>AB57*(1+'_Настройки'!$B$8)</f>
        <v/>
      </c>
      <c r="AD57" s="3">
        <f>'_Настройки'!$B$2</f>
        <v/>
      </c>
      <c r="AE57" s="2">
        <f>L57*AD57</f>
        <v/>
      </c>
      <c r="AF57" s="3">
        <f>'_Настройки'!$B$3</f>
        <v/>
      </c>
      <c r="AG57" s="3">
        <f>IFERROR(INDEX('_Комиссия_ВБ'!$B:$B;MATCH(C57;'_Комиссия_ВБ'!$A:$A;0));0,245)</f>
        <v/>
      </c>
      <c r="AH57" s="3">
        <f>AG57+AF57</f>
        <v/>
      </c>
      <c r="AI57" s="2">
        <f>L57*AH57</f>
        <v/>
      </c>
      <c r="AJ57" s="3">
        <f>IFERROR(INDEX('_Комиссия_ВБ'!$C:$C;MATCH(C57;'_Комиссия_ВБ'!$A:$A;0));0,28)</f>
        <v/>
      </c>
      <c r="AK57" s="3">
        <f>AJ57+AF57</f>
        <v/>
      </c>
      <c r="AL57" s="2">
        <f>L57*AK57</f>
        <v/>
      </c>
      <c r="AM57" s="2" t="n"/>
      <c r="AO57" s="3">
        <f>'_Настройки'!$B$5</f>
        <v/>
      </c>
      <c r="AP57" s="2">
        <f>IF(K57&gt;0;K57*AO57;0)</f>
        <v/>
      </c>
      <c r="AQ57" s="2">
        <f>L57-K57-AI57-AE57-IF(AM57&gt;0;AM57;'_Настройки'!$B$9)-AP57-AC57</f>
        <v/>
      </c>
      <c r="AR57" s="3">
        <f>IF(L57&gt;0;AQ57/L57;"")</f>
        <v/>
      </c>
      <c r="AS57" s="3">
        <f>IF(K57&gt;0;AQ57/K57;"")</f>
        <v/>
      </c>
      <c r="AT57" s="2">
        <f>L57-K57-AL57-AE57-IF(AM57&gt;0;AM57;'_Настройки'!$B$9)-AP57-AC57</f>
        <v/>
      </c>
      <c r="AU57" s="3">
        <f>IF(L57&gt;0;AT57/L57;"")</f>
        <v/>
      </c>
      <c r="AV57" s="3">
        <f>IF(K57&gt;0;AT57/K57;"")</f>
        <v/>
      </c>
    </row>
    <row r="58">
      <c r="A58">
        <f>ROW()-1</f>
        <v/>
      </c>
      <c r="K58" s="2">
        <f>IFERROR(INDEX('_Цены_закупки'!$B:$B;MATCH(C58;'_Цены_закупки'!$A:$A;0));"")</f>
        <v/>
      </c>
      <c r="L58" s="2" t="n"/>
      <c r="M58" s="2" t="n"/>
      <c r="N58" s="3">
        <f>IF(AND(M58&gt;0;L58&gt;0);1-L58/M58;"")</f>
        <v/>
      </c>
      <c r="O58" s="2">
        <f>IF(OR(Q58="";K58=0);"";(K58+IF(AM58&gt;0;AM58;'_Настройки'!$B$9)+AP58+AC58+Q58*K58)/(1-AH58-AD58))</f>
        <v/>
      </c>
      <c r="P58" s="2">
        <f>IF(O58="";"";O58-K58-O58*AH58-O58*AD58-IF(AM58&gt;0;AM58;'_Настройки'!$B$9)-AP58-AC58)</f>
        <v/>
      </c>
      <c r="Q58" s="3">
        <f>IF(AND(O58&gt;0;K58&gt;0);P58/K58;"")</f>
        <v/>
      </c>
      <c r="R58" s="2">
        <f>IF(O58="";"";O58-K58-O58*AK58-O58*AD58-IF(AM58&gt;0;AM58;'_Настройки'!$B$9)-AP58-AC58)</f>
        <v/>
      </c>
      <c r="S58" s="3">
        <f>IF(AND(O58&gt;0;K58&gt;0);R58/K58;"")</f>
        <v/>
      </c>
      <c r="T58" s="2" t="n"/>
      <c r="U58" s="3">
        <f>IF(AND(L58&gt;0;T58&gt;0);1-T58/L58;"")</f>
        <v/>
      </c>
      <c r="V58" s="3">
        <f>'_Настройки'!$B$4</f>
        <v/>
      </c>
      <c r="Z58" s="4">
        <f>IF(AND(W58&gt;0;X58&gt;0;Y58&gt;0);W58*X58*Y58/1000;"")</f>
        <v/>
      </c>
      <c r="AB58" s="2">
        <f>('_Настройки'!$B$6+MAX(0;Z58-1)*'_Настройки'!$B$7)*IF(AA58&gt;0;AA58;'_Настройки'!$B$10)</f>
        <v/>
      </c>
      <c r="AC58" s="2">
        <f>AB58*(1+'_Настройки'!$B$8)</f>
        <v/>
      </c>
      <c r="AD58" s="3">
        <f>'_Настройки'!$B$2</f>
        <v/>
      </c>
      <c r="AE58" s="2">
        <f>L58*AD58</f>
        <v/>
      </c>
      <c r="AF58" s="3">
        <f>'_Настройки'!$B$3</f>
        <v/>
      </c>
      <c r="AG58" s="3">
        <f>IFERROR(INDEX('_Комиссия_ВБ'!$B:$B;MATCH(C58;'_Комиссия_ВБ'!$A:$A;0));0,245)</f>
        <v/>
      </c>
      <c r="AH58" s="3">
        <f>AG58+AF58</f>
        <v/>
      </c>
      <c r="AI58" s="2">
        <f>L58*AH58</f>
        <v/>
      </c>
      <c r="AJ58" s="3">
        <f>IFERROR(INDEX('_Комиссия_ВБ'!$C:$C;MATCH(C58;'_Комиссия_ВБ'!$A:$A;0));0,28)</f>
        <v/>
      </c>
      <c r="AK58" s="3">
        <f>AJ58+AF58</f>
        <v/>
      </c>
      <c r="AL58" s="2">
        <f>L58*AK58</f>
        <v/>
      </c>
      <c r="AM58" s="2" t="n"/>
      <c r="AO58" s="3">
        <f>'_Настройки'!$B$5</f>
        <v/>
      </c>
      <c r="AP58" s="2">
        <f>IF(K58&gt;0;K58*AO58;0)</f>
        <v/>
      </c>
      <c r="AQ58" s="2">
        <f>L58-K58-AI58-AE58-IF(AM58&gt;0;AM58;'_Настройки'!$B$9)-AP58-AC58</f>
        <v/>
      </c>
      <c r="AR58" s="3">
        <f>IF(L58&gt;0;AQ58/L58;"")</f>
        <v/>
      </c>
      <c r="AS58" s="3">
        <f>IF(K58&gt;0;AQ58/K58;"")</f>
        <v/>
      </c>
      <c r="AT58" s="2">
        <f>L58-K58-AL58-AE58-IF(AM58&gt;0;AM58;'_Настройки'!$B$9)-AP58-AC58</f>
        <v/>
      </c>
      <c r="AU58" s="3">
        <f>IF(L58&gt;0;AT58/L58;"")</f>
        <v/>
      </c>
      <c r="AV58" s="3">
        <f>IF(K58&gt;0;AT58/K58;"")</f>
        <v/>
      </c>
    </row>
    <row r="59">
      <c r="A59">
        <f>ROW()-1</f>
        <v/>
      </c>
      <c r="K59" s="2">
        <f>IFERROR(INDEX('_Цены_закупки'!$B:$B;MATCH(C59;'_Цены_закупки'!$A:$A;0));"")</f>
        <v/>
      </c>
      <c r="L59" s="2" t="n"/>
      <c r="M59" s="2" t="n"/>
      <c r="N59" s="3">
        <f>IF(AND(M59&gt;0;L59&gt;0);1-L59/M59;"")</f>
        <v/>
      </c>
      <c r="O59" s="2">
        <f>IF(OR(Q59="";K59=0);"";(K59+IF(AM59&gt;0;AM59;'_Настройки'!$B$9)+AP59+AC59+Q59*K59)/(1-AH59-AD59))</f>
        <v/>
      </c>
      <c r="P59" s="2">
        <f>IF(O59="";"";O59-K59-O59*AH59-O59*AD59-IF(AM59&gt;0;AM59;'_Настройки'!$B$9)-AP59-AC59)</f>
        <v/>
      </c>
      <c r="Q59" s="3">
        <f>IF(AND(O59&gt;0;K59&gt;0);P59/K59;"")</f>
        <v/>
      </c>
      <c r="R59" s="2">
        <f>IF(O59="";"";O59-K59-O59*AK59-O59*AD59-IF(AM59&gt;0;AM59;'_Настройки'!$B$9)-AP59-AC59)</f>
        <v/>
      </c>
      <c r="S59" s="3">
        <f>IF(AND(O59&gt;0;K59&gt;0);R59/K59;"")</f>
        <v/>
      </c>
      <c r="T59" s="2" t="n"/>
      <c r="U59" s="3">
        <f>IF(AND(L59&gt;0;T59&gt;0);1-T59/L59;"")</f>
        <v/>
      </c>
      <c r="V59" s="3">
        <f>'_Настройки'!$B$4</f>
        <v/>
      </c>
      <c r="Z59" s="4">
        <f>IF(AND(W59&gt;0;X59&gt;0;Y59&gt;0);W59*X59*Y59/1000;"")</f>
        <v/>
      </c>
      <c r="AB59" s="2">
        <f>('_Настройки'!$B$6+MAX(0;Z59-1)*'_Настройки'!$B$7)*IF(AA59&gt;0;AA59;'_Настройки'!$B$10)</f>
        <v/>
      </c>
      <c r="AC59" s="2">
        <f>AB59*(1+'_Настройки'!$B$8)</f>
        <v/>
      </c>
      <c r="AD59" s="3">
        <f>'_Настройки'!$B$2</f>
        <v/>
      </c>
      <c r="AE59" s="2">
        <f>L59*AD59</f>
        <v/>
      </c>
      <c r="AF59" s="3">
        <f>'_Настройки'!$B$3</f>
        <v/>
      </c>
      <c r="AG59" s="3">
        <f>IFERROR(INDEX('_Комиссия_ВБ'!$B:$B;MATCH(C59;'_Комиссия_ВБ'!$A:$A;0));0,245)</f>
        <v/>
      </c>
      <c r="AH59" s="3">
        <f>AG59+AF59</f>
        <v/>
      </c>
      <c r="AI59" s="2">
        <f>L59*AH59</f>
        <v/>
      </c>
      <c r="AJ59" s="3">
        <f>IFERROR(INDEX('_Комиссия_ВБ'!$C:$C;MATCH(C59;'_Комиссия_ВБ'!$A:$A;0));0,28)</f>
        <v/>
      </c>
      <c r="AK59" s="3">
        <f>AJ59+AF59</f>
        <v/>
      </c>
      <c r="AL59" s="2">
        <f>L59*AK59</f>
        <v/>
      </c>
      <c r="AM59" s="2" t="n"/>
      <c r="AO59" s="3">
        <f>'_Настройки'!$B$5</f>
        <v/>
      </c>
      <c r="AP59" s="2">
        <f>IF(K59&gt;0;K59*AO59;0)</f>
        <v/>
      </c>
      <c r="AQ59" s="2">
        <f>L59-K59-AI59-AE59-IF(AM59&gt;0;AM59;'_Настройки'!$B$9)-AP59-AC59</f>
        <v/>
      </c>
      <c r="AR59" s="3">
        <f>IF(L59&gt;0;AQ59/L59;"")</f>
        <v/>
      </c>
      <c r="AS59" s="3">
        <f>IF(K59&gt;0;AQ59/K59;"")</f>
        <v/>
      </c>
      <c r="AT59" s="2">
        <f>L59-K59-AL59-AE59-IF(AM59&gt;0;AM59;'_Настройки'!$B$9)-AP59-AC59</f>
        <v/>
      </c>
      <c r="AU59" s="3">
        <f>IF(L59&gt;0;AT59/L59;"")</f>
        <v/>
      </c>
      <c r="AV59" s="3">
        <f>IF(K59&gt;0;AT59/K59;"")</f>
        <v/>
      </c>
    </row>
    <row r="60">
      <c r="A60">
        <f>ROW()-1</f>
        <v/>
      </c>
      <c r="K60" s="2">
        <f>IFERROR(INDEX('_Цены_закупки'!$B:$B;MATCH(C60;'_Цены_закупки'!$A:$A;0));"")</f>
        <v/>
      </c>
      <c r="L60" s="2" t="n"/>
      <c r="M60" s="2" t="n"/>
      <c r="N60" s="3">
        <f>IF(AND(M60&gt;0;L60&gt;0);1-L60/M60;"")</f>
        <v/>
      </c>
      <c r="O60" s="2">
        <f>IF(OR(Q60="";K60=0);"";(K60+IF(AM60&gt;0;AM60;'_Настройки'!$B$9)+AP60+AC60+Q60*K60)/(1-AH60-AD60))</f>
        <v/>
      </c>
      <c r="P60" s="2">
        <f>IF(O60="";"";O60-K60-O60*AH60-O60*AD60-IF(AM60&gt;0;AM60;'_Настройки'!$B$9)-AP60-AC60)</f>
        <v/>
      </c>
      <c r="Q60" s="3">
        <f>IF(AND(O60&gt;0;K60&gt;0);P60/K60;"")</f>
        <v/>
      </c>
      <c r="R60" s="2">
        <f>IF(O60="";"";O60-K60-O60*AK60-O60*AD60-IF(AM60&gt;0;AM60;'_Настройки'!$B$9)-AP60-AC60)</f>
        <v/>
      </c>
      <c r="S60" s="3">
        <f>IF(AND(O60&gt;0;K60&gt;0);R60/K60;"")</f>
        <v/>
      </c>
      <c r="T60" s="2" t="n"/>
      <c r="U60" s="3">
        <f>IF(AND(L60&gt;0;T60&gt;0);1-T60/L60;"")</f>
        <v/>
      </c>
      <c r="V60" s="3">
        <f>'_Настройки'!$B$4</f>
        <v/>
      </c>
      <c r="Z60" s="4">
        <f>IF(AND(W60&gt;0;X60&gt;0;Y60&gt;0);W60*X60*Y60/1000;"")</f>
        <v/>
      </c>
      <c r="AB60" s="2">
        <f>('_Настройки'!$B$6+MAX(0;Z60-1)*'_Настройки'!$B$7)*IF(AA60&gt;0;AA60;'_Настройки'!$B$10)</f>
        <v/>
      </c>
      <c r="AC60" s="2">
        <f>AB60*(1+'_Настройки'!$B$8)</f>
        <v/>
      </c>
      <c r="AD60" s="3">
        <f>'_Настройки'!$B$2</f>
        <v/>
      </c>
      <c r="AE60" s="2">
        <f>L60*AD60</f>
        <v/>
      </c>
      <c r="AF60" s="3">
        <f>'_Настройки'!$B$3</f>
        <v/>
      </c>
      <c r="AG60" s="3">
        <f>IFERROR(INDEX('_Комиссия_ВБ'!$B:$B;MATCH(C60;'_Комиссия_ВБ'!$A:$A;0));0,245)</f>
        <v/>
      </c>
      <c r="AH60" s="3">
        <f>AG60+AF60</f>
        <v/>
      </c>
      <c r="AI60" s="2">
        <f>L60*AH60</f>
        <v/>
      </c>
      <c r="AJ60" s="3">
        <f>IFERROR(INDEX('_Комиссия_ВБ'!$C:$C;MATCH(C60;'_Комиссия_ВБ'!$A:$A;0));0,28)</f>
        <v/>
      </c>
      <c r="AK60" s="3">
        <f>AJ60+AF60</f>
        <v/>
      </c>
      <c r="AL60" s="2">
        <f>L60*AK60</f>
        <v/>
      </c>
      <c r="AM60" s="2" t="n"/>
      <c r="AO60" s="3">
        <f>'_Настройки'!$B$5</f>
        <v/>
      </c>
      <c r="AP60" s="2">
        <f>IF(K60&gt;0;K60*AO60;0)</f>
        <v/>
      </c>
      <c r="AQ60" s="2">
        <f>L60-K60-AI60-AE60-IF(AM60&gt;0;AM60;'_Настройки'!$B$9)-AP60-AC60</f>
        <v/>
      </c>
      <c r="AR60" s="3">
        <f>IF(L60&gt;0;AQ60/L60;"")</f>
        <v/>
      </c>
      <c r="AS60" s="3">
        <f>IF(K60&gt;0;AQ60/K60;"")</f>
        <v/>
      </c>
      <c r="AT60" s="2">
        <f>L60-K60-AL60-AE60-IF(AM60&gt;0;AM60;'_Настройки'!$B$9)-AP60-AC60</f>
        <v/>
      </c>
      <c r="AU60" s="3">
        <f>IF(L60&gt;0;AT60/L60;"")</f>
        <v/>
      </c>
      <c r="AV60" s="3">
        <f>IF(K60&gt;0;AT60/K60;"")</f>
        <v/>
      </c>
    </row>
    <row r="61">
      <c r="A61">
        <f>ROW()-1</f>
        <v/>
      </c>
      <c r="K61" s="2">
        <f>IFERROR(INDEX('_Цены_закупки'!$B:$B;MATCH(C61;'_Цены_закупки'!$A:$A;0));"")</f>
        <v/>
      </c>
      <c r="L61" s="2" t="n"/>
      <c r="M61" s="2" t="n"/>
      <c r="N61" s="3">
        <f>IF(AND(M61&gt;0;L61&gt;0);1-L61/M61;"")</f>
        <v/>
      </c>
      <c r="O61" s="2">
        <f>IF(OR(Q61="";K61=0);"";(K61+IF(AM61&gt;0;AM61;'_Настройки'!$B$9)+AP61+AC61+Q61*K61)/(1-AH61-AD61))</f>
        <v/>
      </c>
      <c r="P61" s="2">
        <f>IF(O61="";"";O61-K61-O61*AH61-O61*AD61-IF(AM61&gt;0;AM61;'_Настройки'!$B$9)-AP61-AC61)</f>
        <v/>
      </c>
      <c r="Q61" s="3">
        <f>IF(AND(O61&gt;0;K61&gt;0);P61/K61;"")</f>
        <v/>
      </c>
      <c r="R61" s="2">
        <f>IF(O61="";"";O61-K61-O61*AK61-O61*AD61-IF(AM61&gt;0;AM61;'_Настройки'!$B$9)-AP61-AC61)</f>
        <v/>
      </c>
      <c r="S61" s="3">
        <f>IF(AND(O61&gt;0;K61&gt;0);R61/K61;"")</f>
        <v/>
      </c>
      <c r="T61" s="2" t="n"/>
      <c r="U61" s="3">
        <f>IF(AND(L61&gt;0;T61&gt;0);1-T61/L61;"")</f>
        <v/>
      </c>
      <c r="V61" s="3">
        <f>'_Настройки'!$B$4</f>
        <v/>
      </c>
      <c r="Z61" s="4">
        <f>IF(AND(W61&gt;0;X61&gt;0;Y61&gt;0);W61*X61*Y61/1000;"")</f>
        <v/>
      </c>
      <c r="AB61" s="2">
        <f>('_Настройки'!$B$6+MAX(0;Z61-1)*'_Настройки'!$B$7)*IF(AA61&gt;0;AA61;'_Настройки'!$B$10)</f>
        <v/>
      </c>
      <c r="AC61" s="2">
        <f>AB61*(1+'_Настройки'!$B$8)</f>
        <v/>
      </c>
      <c r="AD61" s="3">
        <f>'_Настройки'!$B$2</f>
        <v/>
      </c>
      <c r="AE61" s="2">
        <f>L61*AD61</f>
        <v/>
      </c>
      <c r="AF61" s="3">
        <f>'_Настройки'!$B$3</f>
        <v/>
      </c>
      <c r="AG61" s="3">
        <f>IFERROR(INDEX('_Комиссия_ВБ'!$B:$B;MATCH(C61;'_Комиссия_ВБ'!$A:$A;0));0,245)</f>
        <v/>
      </c>
      <c r="AH61" s="3">
        <f>AG61+AF61</f>
        <v/>
      </c>
      <c r="AI61" s="2">
        <f>L61*AH61</f>
        <v/>
      </c>
      <c r="AJ61" s="3">
        <f>IFERROR(INDEX('_Комиссия_ВБ'!$C:$C;MATCH(C61;'_Комиссия_ВБ'!$A:$A;0));0,28)</f>
        <v/>
      </c>
      <c r="AK61" s="3">
        <f>AJ61+AF61</f>
        <v/>
      </c>
      <c r="AL61" s="2">
        <f>L61*AK61</f>
        <v/>
      </c>
      <c r="AM61" s="2" t="n"/>
      <c r="AO61" s="3">
        <f>'_Настройки'!$B$5</f>
        <v/>
      </c>
      <c r="AP61" s="2">
        <f>IF(K61&gt;0;K61*AO61;0)</f>
        <v/>
      </c>
      <c r="AQ61" s="2">
        <f>L61-K61-AI61-AE61-IF(AM61&gt;0;AM61;'_Настройки'!$B$9)-AP61-AC61</f>
        <v/>
      </c>
      <c r="AR61" s="3">
        <f>IF(L61&gt;0;AQ61/L61;"")</f>
        <v/>
      </c>
      <c r="AS61" s="3">
        <f>IF(K61&gt;0;AQ61/K61;"")</f>
        <v/>
      </c>
      <c r="AT61" s="2">
        <f>L61-K61-AL61-AE61-IF(AM61&gt;0;AM61;'_Настройки'!$B$9)-AP61-AC61</f>
        <v/>
      </c>
      <c r="AU61" s="3">
        <f>IF(L61&gt;0;AT61/L61;"")</f>
        <v/>
      </c>
      <c r="AV61" s="3">
        <f>IF(K61&gt;0;AT61/K61;"")</f>
        <v/>
      </c>
    </row>
    <row r="62">
      <c r="A62">
        <f>ROW()-1</f>
        <v/>
      </c>
      <c r="K62" s="2">
        <f>IFERROR(INDEX('_Цены_закупки'!$B:$B;MATCH(C62;'_Цены_закупки'!$A:$A;0));"")</f>
        <v/>
      </c>
      <c r="L62" s="2" t="n"/>
      <c r="M62" s="2" t="n"/>
      <c r="N62" s="3">
        <f>IF(AND(M62&gt;0;L62&gt;0);1-L62/M62;"")</f>
        <v/>
      </c>
      <c r="O62" s="2">
        <f>IF(OR(Q62="";K62=0);"";(K62+IF(AM62&gt;0;AM62;'_Настройки'!$B$9)+AP62+AC62+Q62*K62)/(1-AH62-AD62))</f>
        <v/>
      </c>
      <c r="P62" s="2">
        <f>IF(O62="";"";O62-K62-O62*AH62-O62*AD62-IF(AM62&gt;0;AM62;'_Настройки'!$B$9)-AP62-AC62)</f>
        <v/>
      </c>
      <c r="Q62" s="3">
        <f>IF(AND(O62&gt;0;K62&gt;0);P62/K62;"")</f>
        <v/>
      </c>
      <c r="R62" s="2">
        <f>IF(O62="";"";O62-K62-O62*AK62-O62*AD62-IF(AM62&gt;0;AM62;'_Настройки'!$B$9)-AP62-AC62)</f>
        <v/>
      </c>
      <c r="S62" s="3">
        <f>IF(AND(O62&gt;0;K62&gt;0);R62/K62;"")</f>
        <v/>
      </c>
      <c r="T62" s="2" t="n"/>
      <c r="U62" s="3">
        <f>IF(AND(L62&gt;0;T62&gt;0);1-T62/L62;"")</f>
        <v/>
      </c>
      <c r="V62" s="3">
        <f>'_Настройки'!$B$4</f>
        <v/>
      </c>
      <c r="Z62" s="4">
        <f>IF(AND(W62&gt;0;X62&gt;0;Y62&gt;0);W62*X62*Y62/1000;"")</f>
        <v/>
      </c>
      <c r="AB62" s="2">
        <f>('_Настройки'!$B$6+MAX(0;Z62-1)*'_Настройки'!$B$7)*IF(AA62&gt;0;AA62;'_Настройки'!$B$10)</f>
        <v/>
      </c>
      <c r="AC62" s="2">
        <f>AB62*(1+'_Настройки'!$B$8)</f>
        <v/>
      </c>
      <c r="AD62" s="3">
        <f>'_Настройки'!$B$2</f>
        <v/>
      </c>
      <c r="AE62" s="2">
        <f>L62*AD62</f>
        <v/>
      </c>
      <c r="AF62" s="3">
        <f>'_Настройки'!$B$3</f>
        <v/>
      </c>
      <c r="AG62" s="3">
        <f>IFERROR(INDEX('_Комиссия_ВБ'!$B:$B;MATCH(C62;'_Комиссия_ВБ'!$A:$A;0));0,245)</f>
        <v/>
      </c>
      <c r="AH62" s="3">
        <f>AG62+AF62</f>
        <v/>
      </c>
      <c r="AI62" s="2">
        <f>L62*AH62</f>
        <v/>
      </c>
      <c r="AJ62" s="3">
        <f>IFERROR(INDEX('_Комиссия_ВБ'!$C:$C;MATCH(C62;'_Комиссия_ВБ'!$A:$A;0));0,28)</f>
        <v/>
      </c>
      <c r="AK62" s="3">
        <f>AJ62+AF62</f>
        <v/>
      </c>
      <c r="AL62" s="2">
        <f>L62*AK62</f>
        <v/>
      </c>
      <c r="AM62" s="2" t="n"/>
      <c r="AO62" s="3">
        <f>'_Настройки'!$B$5</f>
        <v/>
      </c>
      <c r="AP62" s="2">
        <f>IF(K62&gt;0;K62*AO62;0)</f>
        <v/>
      </c>
      <c r="AQ62" s="2">
        <f>L62-K62-AI62-AE62-IF(AM62&gt;0;AM62;'_Настройки'!$B$9)-AP62-AC62</f>
        <v/>
      </c>
      <c r="AR62" s="3">
        <f>IF(L62&gt;0;AQ62/L62;"")</f>
        <v/>
      </c>
      <c r="AS62" s="3">
        <f>IF(K62&gt;0;AQ62/K62;"")</f>
        <v/>
      </c>
      <c r="AT62" s="2">
        <f>L62-K62-AL62-AE62-IF(AM62&gt;0;AM62;'_Настройки'!$B$9)-AP62-AC62</f>
        <v/>
      </c>
      <c r="AU62" s="3">
        <f>IF(L62&gt;0;AT62/L62;"")</f>
        <v/>
      </c>
      <c r="AV62" s="3">
        <f>IF(K62&gt;0;AT62/K62;"")</f>
        <v/>
      </c>
    </row>
    <row r="63">
      <c r="A63">
        <f>ROW()-1</f>
        <v/>
      </c>
      <c r="K63" s="2">
        <f>IFERROR(INDEX('_Цены_закупки'!$B:$B;MATCH(C63;'_Цены_закупки'!$A:$A;0));"")</f>
        <v/>
      </c>
      <c r="L63" s="2" t="n"/>
      <c r="M63" s="2" t="n"/>
      <c r="N63" s="3">
        <f>IF(AND(M63&gt;0;L63&gt;0);1-L63/M63;"")</f>
        <v/>
      </c>
      <c r="O63" s="2">
        <f>IF(OR(Q63="";K63=0);"";(K63+IF(AM63&gt;0;AM63;'_Настройки'!$B$9)+AP63+AC63+Q63*K63)/(1-AH63-AD63))</f>
        <v/>
      </c>
      <c r="P63" s="2">
        <f>IF(O63="";"";O63-K63-O63*AH63-O63*AD63-IF(AM63&gt;0;AM63;'_Настройки'!$B$9)-AP63-AC63)</f>
        <v/>
      </c>
      <c r="Q63" s="3">
        <f>IF(AND(O63&gt;0;K63&gt;0);P63/K63;"")</f>
        <v/>
      </c>
      <c r="R63" s="2">
        <f>IF(O63="";"";O63-K63-O63*AK63-O63*AD63-IF(AM63&gt;0;AM63;'_Настройки'!$B$9)-AP63-AC63)</f>
        <v/>
      </c>
      <c r="S63" s="3">
        <f>IF(AND(O63&gt;0;K63&gt;0);R63/K63;"")</f>
        <v/>
      </c>
      <c r="T63" s="2" t="n"/>
      <c r="U63" s="3">
        <f>IF(AND(L63&gt;0;T63&gt;0);1-T63/L63;"")</f>
        <v/>
      </c>
      <c r="V63" s="3">
        <f>'_Настройки'!$B$4</f>
        <v/>
      </c>
      <c r="Z63" s="4">
        <f>IF(AND(W63&gt;0;X63&gt;0;Y63&gt;0);W63*X63*Y63/1000;"")</f>
        <v/>
      </c>
      <c r="AB63" s="2">
        <f>('_Настройки'!$B$6+MAX(0;Z63-1)*'_Настройки'!$B$7)*IF(AA63&gt;0;AA63;'_Настройки'!$B$10)</f>
        <v/>
      </c>
      <c r="AC63" s="2">
        <f>AB63*(1+'_Настройки'!$B$8)</f>
        <v/>
      </c>
      <c r="AD63" s="3">
        <f>'_Настройки'!$B$2</f>
        <v/>
      </c>
      <c r="AE63" s="2">
        <f>L63*AD63</f>
        <v/>
      </c>
      <c r="AF63" s="3">
        <f>'_Настройки'!$B$3</f>
        <v/>
      </c>
      <c r="AG63" s="3">
        <f>IFERROR(INDEX('_Комиссия_ВБ'!$B:$B;MATCH(C63;'_Комиссия_ВБ'!$A:$A;0));0,245)</f>
        <v/>
      </c>
      <c r="AH63" s="3">
        <f>AG63+AF63</f>
        <v/>
      </c>
      <c r="AI63" s="2">
        <f>L63*AH63</f>
        <v/>
      </c>
      <c r="AJ63" s="3">
        <f>IFERROR(INDEX('_Комиссия_ВБ'!$C:$C;MATCH(C63;'_Комиссия_ВБ'!$A:$A;0));0,28)</f>
        <v/>
      </c>
      <c r="AK63" s="3">
        <f>AJ63+AF63</f>
        <v/>
      </c>
      <c r="AL63" s="2">
        <f>L63*AK63</f>
        <v/>
      </c>
      <c r="AM63" s="2" t="n"/>
      <c r="AO63" s="3">
        <f>'_Настройки'!$B$5</f>
        <v/>
      </c>
      <c r="AP63" s="2">
        <f>IF(K63&gt;0;K63*AO63;0)</f>
        <v/>
      </c>
      <c r="AQ63" s="2">
        <f>L63-K63-AI63-AE63-IF(AM63&gt;0;AM63;'_Настройки'!$B$9)-AP63-AC63</f>
        <v/>
      </c>
      <c r="AR63" s="3">
        <f>IF(L63&gt;0;AQ63/L63;"")</f>
        <v/>
      </c>
      <c r="AS63" s="3">
        <f>IF(K63&gt;0;AQ63/K63;"")</f>
        <v/>
      </c>
      <c r="AT63" s="2">
        <f>L63-K63-AL63-AE63-IF(AM63&gt;0;AM63;'_Настройки'!$B$9)-AP63-AC63</f>
        <v/>
      </c>
      <c r="AU63" s="3">
        <f>IF(L63&gt;0;AT63/L63;"")</f>
        <v/>
      </c>
      <c r="AV63" s="3">
        <f>IF(K63&gt;0;AT63/K63;"")</f>
        <v/>
      </c>
    </row>
    <row r="64">
      <c r="A64">
        <f>ROW()-1</f>
        <v/>
      </c>
      <c r="K64" s="2">
        <f>IFERROR(INDEX('_Цены_закупки'!$B:$B;MATCH(C64;'_Цены_закупки'!$A:$A;0));"")</f>
        <v/>
      </c>
      <c r="L64" s="2" t="n"/>
      <c r="M64" s="2" t="n"/>
      <c r="N64" s="3">
        <f>IF(AND(M64&gt;0;L64&gt;0);1-L64/M64;"")</f>
        <v/>
      </c>
      <c r="O64" s="2">
        <f>IF(OR(Q64="";K64=0);"";(K64+IF(AM64&gt;0;AM64;'_Настройки'!$B$9)+AP64+AC64+Q64*K64)/(1-AH64-AD64))</f>
        <v/>
      </c>
      <c r="P64" s="2">
        <f>IF(O64="";"";O64-K64-O64*AH64-O64*AD64-IF(AM64&gt;0;AM64;'_Настройки'!$B$9)-AP64-AC64)</f>
        <v/>
      </c>
      <c r="Q64" s="3">
        <f>IF(AND(O64&gt;0;K64&gt;0);P64/K64;"")</f>
        <v/>
      </c>
      <c r="R64" s="2">
        <f>IF(O64="";"";O64-K64-O64*AK64-O64*AD64-IF(AM64&gt;0;AM64;'_Настройки'!$B$9)-AP64-AC64)</f>
        <v/>
      </c>
      <c r="S64" s="3">
        <f>IF(AND(O64&gt;0;K64&gt;0);R64/K64;"")</f>
        <v/>
      </c>
      <c r="T64" s="2" t="n"/>
      <c r="U64" s="3">
        <f>IF(AND(L64&gt;0;T64&gt;0);1-T64/L64;"")</f>
        <v/>
      </c>
      <c r="V64" s="3">
        <f>'_Настройки'!$B$4</f>
        <v/>
      </c>
      <c r="Z64" s="4">
        <f>IF(AND(W64&gt;0;X64&gt;0;Y64&gt;0);W64*X64*Y64/1000;"")</f>
        <v/>
      </c>
      <c r="AB64" s="2">
        <f>('_Настройки'!$B$6+MAX(0;Z64-1)*'_Настройки'!$B$7)*IF(AA64&gt;0;AA64;'_Настройки'!$B$10)</f>
        <v/>
      </c>
      <c r="AC64" s="2">
        <f>AB64*(1+'_Настройки'!$B$8)</f>
        <v/>
      </c>
      <c r="AD64" s="3">
        <f>'_Настройки'!$B$2</f>
        <v/>
      </c>
      <c r="AE64" s="2">
        <f>L64*AD64</f>
        <v/>
      </c>
      <c r="AF64" s="3">
        <f>'_Настройки'!$B$3</f>
        <v/>
      </c>
      <c r="AG64" s="3">
        <f>IFERROR(INDEX('_Комиссия_ВБ'!$B:$B;MATCH(C64;'_Комиссия_ВБ'!$A:$A;0));0,245)</f>
        <v/>
      </c>
      <c r="AH64" s="3">
        <f>AG64+AF64</f>
        <v/>
      </c>
      <c r="AI64" s="2">
        <f>L64*AH64</f>
        <v/>
      </c>
      <c r="AJ64" s="3">
        <f>IFERROR(INDEX('_Комиссия_ВБ'!$C:$C;MATCH(C64;'_Комиссия_ВБ'!$A:$A;0));0,28)</f>
        <v/>
      </c>
      <c r="AK64" s="3">
        <f>AJ64+AF64</f>
        <v/>
      </c>
      <c r="AL64" s="2">
        <f>L64*AK64</f>
        <v/>
      </c>
      <c r="AM64" s="2" t="n"/>
      <c r="AO64" s="3">
        <f>'_Настройки'!$B$5</f>
        <v/>
      </c>
      <c r="AP64" s="2">
        <f>IF(K64&gt;0;K64*AO64;0)</f>
        <v/>
      </c>
      <c r="AQ64" s="2">
        <f>L64-K64-AI64-AE64-IF(AM64&gt;0;AM64;'_Настройки'!$B$9)-AP64-AC64</f>
        <v/>
      </c>
      <c r="AR64" s="3">
        <f>IF(L64&gt;0;AQ64/L64;"")</f>
        <v/>
      </c>
      <c r="AS64" s="3">
        <f>IF(K64&gt;0;AQ64/K64;"")</f>
        <v/>
      </c>
      <c r="AT64" s="2">
        <f>L64-K64-AL64-AE64-IF(AM64&gt;0;AM64;'_Настройки'!$B$9)-AP64-AC64</f>
        <v/>
      </c>
      <c r="AU64" s="3">
        <f>IF(L64&gt;0;AT64/L64;"")</f>
        <v/>
      </c>
      <c r="AV64" s="3">
        <f>IF(K64&gt;0;AT64/K64;"")</f>
        <v/>
      </c>
    </row>
    <row r="65">
      <c r="A65">
        <f>ROW()-1</f>
        <v/>
      </c>
      <c r="K65" s="2">
        <f>IFERROR(INDEX('_Цены_закупки'!$B:$B;MATCH(C65;'_Цены_закупки'!$A:$A;0));"")</f>
        <v/>
      </c>
      <c r="L65" s="2" t="n"/>
      <c r="M65" s="2" t="n"/>
      <c r="N65" s="3">
        <f>IF(AND(M65&gt;0;L65&gt;0);1-L65/M65;"")</f>
        <v/>
      </c>
      <c r="O65" s="2">
        <f>IF(OR(Q65="";K65=0);"";(K65+IF(AM65&gt;0;AM65;'_Настройки'!$B$9)+AP65+AC65+Q65*K65)/(1-AH65-AD65))</f>
        <v/>
      </c>
      <c r="P65" s="2">
        <f>IF(O65="";"";O65-K65-O65*AH65-O65*AD65-IF(AM65&gt;0;AM65;'_Настройки'!$B$9)-AP65-AC65)</f>
        <v/>
      </c>
      <c r="Q65" s="3">
        <f>IF(AND(O65&gt;0;K65&gt;0);P65/K65;"")</f>
        <v/>
      </c>
      <c r="R65" s="2">
        <f>IF(O65="";"";O65-K65-O65*AK65-O65*AD65-IF(AM65&gt;0;AM65;'_Настройки'!$B$9)-AP65-AC65)</f>
        <v/>
      </c>
      <c r="S65" s="3">
        <f>IF(AND(O65&gt;0;K65&gt;0);R65/K65;"")</f>
        <v/>
      </c>
      <c r="T65" s="2" t="n"/>
      <c r="U65" s="3">
        <f>IF(AND(L65&gt;0;T65&gt;0);1-T65/L65;"")</f>
        <v/>
      </c>
      <c r="V65" s="3">
        <f>'_Настройки'!$B$4</f>
        <v/>
      </c>
      <c r="Z65" s="4">
        <f>IF(AND(W65&gt;0;X65&gt;0;Y65&gt;0);W65*X65*Y65/1000;"")</f>
        <v/>
      </c>
      <c r="AB65" s="2">
        <f>('_Настройки'!$B$6+MAX(0;Z65-1)*'_Настройки'!$B$7)*IF(AA65&gt;0;AA65;'_Настройки'!$B$10)</f>
        <v/>
      </c>
      <c r="AC65" s="2">
        <f>AB65*(1+'_Настройки'!$B$8)</f>
        <v/>
      </c>
      <c r="AD65" s="3">
        <f>'_Настройки'!$B$2</f>
        <v/>
      </c>
      <c r="AE65" s="2">
        <f>L65*AD65</f>
        <v/>
      </c>
      <c r="AF65" s="3">
        <f>'_Настройки'!$B$3</f>
        <v/>
      </c>
      <c r="AG65" s="3">
        <f>IFERROR(INDEX('_Комиссия_ВБ'!$B:$B;MATCH(C65;'_Комиссия_ВБ'!$A:$A;0));0,245)</f>
        <v/>
      </c>
      <c r="AH65" s="3">
        <f>AG65+AF65</f>
        <v/>
      </c>
      <c r="AI65" s="2">
        <f>L65*AH65</f>
        <v/>
      </c>
      <c r="AJ65" s="3">
        <f>IFERROR(INDEX('_Комиссия_ВБ'!$C:$C;MATCH(C65;'_Комиссия_ВБ'!$A:$A;0));0,28)</f>
        <v/>
      </c>
      <c r="AK65" s="3">
        <f>AJ65+AF65</f>
        <v/>
      </c>
      <c r="AL65" s="2">
        <f>L65*AK65</f>
        <v/>
      </c>
      <c r="AM65" s="2" t="n"/>
      <c r="AO65" s="3">
        <f>'_Настройки'!$B$5</f>
        <v/>
      </c>
      <c r="AP65" s="2">
        <f>IF(K65&gt;0;K65*AO65;0)</f>
        <v/>
      </c>
      <c r="AQ65" s="2">
        <f>L65-K65-AI65-AE65-IF(AM65&gt;0;AM65;'_Настройки'!$B$9)-AP65-AC65</f>
        <v/>
      </c>
      <c r="AR65" s="3">
        <f>IF(L65&gt;0;AQ65/L65;"")</f>
        <v/>
      </c>
      <c r="AS65" s="3">
        <f>IF(K65&gt;0;AQ65/K65;"")</f>
        <v/>
      </c>
      <c r="AT65" s="2">
        <f>L65-K65-AL65-AE65-IF(AM65&gt;0;AM65;'_Настройки'!$B$9)-AP65-AC65</f>
        <v/>
      </c>
      <c r="AU65" s="3">
        <f>IF(L65&gt;0;AT65/L65;"")</f>
        <v/>
      </c>
      <c r="AV65" s="3">
        <f>IF(K65&gt;0;AT65/K65;"")</f>
        <v/>
      </c>
    </row>
    <row r="66">
      <c r="A66">
        <f>ROW()-1</f>
        <v/>
      </c>
      <c r="K66" s="2">
        <f>IFERROR(INDEX('_Цены_закупки'!$B:$B;MATCH(C66;'_Цены_закупки'!$A:$A;0));"")</f>
        <v/>
      </c>
      <c r="L66" s="2" t="n"/>
      <c r="M66" s="2" t="n"/>
      <c r="N66" s="3">
        <f>IF(AND(M66&gt;0;L66&gt;0);1-L66/M66;"")</f>
        <v/>
      </c>
      <c r="O66" s="2">
        <f>IF(OR(Q66="";K66=0);"";(K66+IF(AM66&gt;0;AM66;'_Настройки'!$B$9)+AP66+AC66+Q66*K66)/(1-AH66-AD66))</f>
        <v/>
      </c>
      <c r="P66" s="2">
        <f>IF(O66="";"";O66-K66-O66*AH66-O66*AD66-IF(AM66&gt;0;AM66;'_Настройки'!$B$9)-AP66-AC66)</f>
        <v/>
      </c>
      <c r="Q66" s="3">
        <f>IF(AND(O66&gt;0;K66&gt;0);P66/K66;"")</f>
        <v/>
      </c>
      <c r="R66" s="2">
        <f>IF(O66="";"";O66-K66-O66*AK66-O66*AD66-IF(AM66&gt;0;AM66;'_Настройки'!$B$9)-AP66-AC66)</f>
        <v/>
      </c>
      <c r="S66" s="3">
        <f>IF(AND(O66&gt;0;K66&gt;0);R66/K66;"")</f>
        <v/>
      </c>
      <c r="T66" s="2" t="n"/>
      <c r="U66" s="3">
        <f>IF(AND(L66&gt;0;T66&gt;0);1-T66/L66;"")</f>
        <v/>
      </c>
      <c r="V66" s="3">
        <f>'_Настройки'!$B$4</f>
        <v/>
      </c>
      <c r="Z66" s="4">
        <f>IF(AND(W66&gt;0;X66&gt;0;Y66&gt;0);W66*X66*Y66/1000;"")</f>
        <v/>
      </c>
      <c r="AB66" s="2">
        <f>('_Настройки'!$B$6+MAX(0;Z66-1)*'_Настройки'!$B$7)*IF(AA66&gt;0;AA66;'_Настройки'!$B$10)</f>
        <v/>
      </c>
      <c r="AC66" s="2">
        <f>AB66*(1+'_Настройки'!$B$8)</f>
        <v/>
      </c>
      <c r="AD66" s="3">
        <f>'_Настройки'!$B$2</f>
        <v/>
      </c>
      <c r="AE66" s="2">
        <f>L66*AD66</f>
        <v/>
      </c>
      <c r="AF66" s="3">
        <f>'_Настройки'!$B$3</f>
        <v/>
      </c>
      <c r="AG66" s="3">
        <f>IFERROR(INDEX('_Комиссия_ВБ'!$B:$B;MATCH(C66;'_Комиссия_ВБ'!$A:$A;0));0,245)</f>
        <v/>
      </c>
      <c r="AH66" s="3">
        <f>AG66+AF66</f>
        <v/>
      </c>
      <c r="AI66" s="2">
        <f>L66*AH66</f>
        <v/>
      </c>
      <c r="AJ66" s="3">
        <f>IFERROR(INDEX('_Комиссия_ВБ'!$C:$C;MATCH(C66;'_Комиссия_ВБ'!$A:$A;0));0,28)</f>
        <v/>
      </c>
      <c r="AK66" s="3">
        <f>AJ66+AF66</f>
        <v/>
      </c>
      <c r="AL66" s="2">
        <f>L66*AK66</f>
        <v/>
      </c>
      <c r="AM66" s="2" t="n"/>
      <c r="AO66" s="3">
        <f>'_Настройки'!$B$5</f>
        <v/>
      </c>
      <c r="AP66" s="2">
        <f>IF(K66&gt;0;K66*AO66;0)</f>
        <v/>
      </c>
      <c r="AQ66" s="2">
        <f>L66-K66-AI66-AE66-IF(AM66&gt;0;AM66;'_Настройки'!$B$9)-AP66-AC66</f>
        <v/>
      </c>
      <c r="AR66" s="3">
        <f>IF(L66&gt;0;AQ66/L66;"")</f>
        <v/>
      </c>
      <c r="AS66" s="3">
        <f>IF(K66&gt;0;AQ66/K66;"")</f>
        <v/>
      </c>
      <c r="AT66" s="2">
        <f>L66-K66-AL66-AE66-IF(AM66&gt;0;AM66;'_Настройки'!$B$9)-AP66-AC66</f>
        <v/>
      </c>
      <c r="AU66" s="3">
        <f>IF(L66&gt;0;AT66/L66;"")</f>
        <v/>
      </c>
      <c r="AV66" s="3">
        <f>IF(K66&gt;0;AT66/K66;"")</f>
        <v/>
      </c>
    </row>
    <row r="67">
      <c r="A67">
        <f>ROW()-1</f>
        <v/>
      </c>
      <c r="K67" s="2">
        <f>IFERROR(INDEX('_Цены_закупки'!$B:$B;MATCH(C67;'_Цены_закупки'!$A:$A;0));"")</f>
        <v/>
      </c>
      <c r="L67" s="2" t="n"/>
      <c r="M67" s="2" t="n"/>
      <c r="N67" s="3">
        <f>IF(AND(M67&gt;0;L67&gt;0);1-L67/M67;"")</f>
        <v/>
      </c>
      <c r="O67" s="2">
        <f>IF(OR(Q67="";K67=0);"";(K67+IF(AM67&gt;0;AM67;'_Настройки'!$B$9)+AP67+AC67+Q67*K67)/(1-AH67-AD67))</f>
        <v/>
      </c>
      <c r="P67" s="2">
        <f>IF(O67="";"";O67-K67-O67*AH67-O67*AD67-IF(AM67&gt;0;AM67;'_Настройки'!$B$9)-AP67-AC67)</f>
        <v/>
      </c>
      <c r="Q67" s="3">
        <f>IF(AND(O67&gt;0;K67&gt;0);P67/K67;"")</f>
        <v/>
      </c>
      <c r="R67" s="2">
        <f>IF(O67="";"";O67-K67-O67*AK67-O67*AD67-IF(AM67&gt;0;AM67;'_Настройки'!$B$9)-AP67-AC67)</f>
        <v/>
      </c>
      <c r="S67" s="3">
        <f>IF(AND(O67&gt;0;K67&gt;0);R67/K67;"")</f>
        <v/>
      </c>
      <c r="T67" s="2" t="n"/>
      <c r="U67" s="3">
        <f>IF(AND(L67&gt;0;T67&gt;0);1-T67/L67;"")</f>
        <v/>
      </c>
      <c r="V67" s="3">
        <f>'_Настройки'!$B$4</f>
        <v/>
      </c>
      <c r="Z67" s="4">
        <f>IF(AND(W67&gt;0;X67&gt;0;Y67&gt;0);W67*X67*Y67/1000;"")</f>
        <v/>
      </c>
      <c r="AB67" s="2">
        <f>('_Настройки'!$B$6+MAX(0;Z67-1)*'_Настройки'!$B$7)*IF(AA67&gt;0;AA67;'_Настройки'!$B$10)</f>
        <v/>
      </c>
      <c r="AC67" s="2">
        <f>AB67*(1+'_Настройки'!$B$8)</f>
        <v/>
      </c>
      <c r="AD67" s="3">
        <f>'_Настройки'!$B$2</f>
        <v/>
      </c>
      <c r="AE67" s="2">
        <f>L67*AD67</f>
        <v/>
      </c>
      <c r="AF67" s="3">
        <f>'_Настройки'!$B$3</f>
        <v/>
      </c>
      <c r="AG67" s="3">
        <f>IFERROR(INDEX('_Комиссия_ВБ'!$B:$B;MATCH(C67;'_Комиссия_ВБ'!$A:$A;0));0,245)</f>
        <v/>
      </c>
      <c r="AH67" s="3">
        <f>AG67+AF67</f>
        <v/>
      </c>
      <c r="AI67" s="2">
        <f>L67*AH67</f>
        <v/>
      </c>
      <c r="AJ67" s="3">
        <f>IFERROR(INDEX('_Комиссия_ВБ'!$C:$C;MATCH(C67;'_Комиссия_ВБ'!$A:$A;0));0,28)</f>
        <v/>
      </c>
      <c r="AK67" s="3">
        <f>AJ67+AF67</f>
        <v/>
      </c>
      <c r="AL67" s="2">
        <f>L67*AK67</f>
        <v/>
      </c>
      <c r="AM67" s="2" t="n"/>
      <c r="AO67" s="3">
        <f>'_Настройки'!$B$5</f>
        <v/>
      </c>
      <c r="AP67" s="2">
        <f>IF(K67&gt;0;K67*AO67;0)</f>
        <v/>
      </c>
      <c r="AQ67" s="2">
        <f>L67-K67-AI67-AE67-IF(AM67&gt;0;AM67;'_Настройки'!$B$9)-AP67-AC67</f>
        <v/>
      </c>
      <c r="AR67" s="3">
        <f>IF(L67&gt;0;AQ67/L67;"")</f>
        <v/>
      </c>
      <c r="AS67" s="3">
        <f>IF(K67&gt;0;AQ67/K67;"")</f>
        <v/>
      </c>
      <c r="AT67" s="2">
        <f>L67-K67-AL67-AE67-IF(AM67&gt;0;AM67;'_Настройки'!$B$9)-AP67-AC67</f>
        <v/>
      </c>
      <c r="AU67" s="3">
        <f>IF(L67&gt;0;AT67/L67;"")</f>
        <v/>
      </c>
      <c r="AV67" s="3">
        <f>IF(K67&gt;0;AT67/K67;"")</f>
        <v/>
      </c>
    </row>
    <row r="68">
      <c r="A68">
        <f>ROW()-1</f>
        <v/>
      </c>
      <c r="K68" s="2">
        <f>IFERROR(INDEX('_Цены_закупки'!$B:$B;MATCH(C68;'_Цены_закупки'!$A:$A;0));"")</f>
        <v/>
      </c>
      <c r="L68" s="2" t="n"/>
      <c r="M68" s="2" t="n"/>
      <c r="N68" s="3">
        <f>IF(AND(M68&gt;0;L68&gt;0);1-L68/M68;"")</f>
        <v/>
      </c>
      <c r="O68" s="2">
        <f>IF(OR(Q68="";K68=0);"";(K68+IF(AM68&gt;0;AM68;'_Настройки'!$B$9)+AP68+AC68+Q68*K68)/(1-AH68-AD68))</f>
        <v/>
      </c>
      <c r="P68" s="2">
        <f>IF(O68="";"";O68-K68-O68*AH68-O68*AD68-IF(AM68&gt;0;AM68;'_Настройки'!$B$9)-AP68-AC68)</f>
        <v/>
      </c>
      <c r="Q68" s="3">
        <f>IF(AND(O68&gt;0;K68&gt;0);P68/K68;"")</f>
        <v/>
      </c>
      <c r="R68" s="2">
        <f>IF(O68="";"";O68-K68-O68*AK68-O68*AD68-IF(AM68&gt;0;AM68;'_Настройки'!$B$9)-AP68-AC68)</f>
        <v/>
      </c>
      <c r="S68" s="3">
        <f>IF(AND(O68&gt;0;K68&gt;0);R68/K68;"")</f>
        <v/>
      </c>
      <c r="T68" s="2" t="n"/>
      <c r="U68" s="3">
        <f>IF(AND(L68&gt;0;T68&gt;0);1-T68/L68;"")</f>
        <v/>
      </c>
      <c r="V68" s="3">
        <f>'_Настройки'!$B$4</f>
        <v/>
      </c>
      <c r="Z68" s="4">
        <f>IF(AND(W68&gt;0;X68&gt;0;Y68&gt;0);W68*X68*Y68/1000;"")</f>
        <v/>
      </c>
      <c r="AB68" s="2">
        <f>('_Настройки'!$B$6+MAX(0;Z68-1)*'_Настройки'!$B$7)*IF(AA68&gt;0;AA68;'_Настройки'!$B$10)</f>
        <v/>
      </c>
      <c r="AC68" s="2">
        <f>AB68*(1+'_Настройки'!$B$8)</f>
        <v/>
      </c>
      <c r="AD68" s="3">
        <f>'_Настройки'!$B$2</f>
        <v/>
      </c>
      <c r="AE68" s="2">
        <f>L68*AD68</f>
        <v/>
      </c>
      <c r="AF68" s="3">
        <f>'_Настройки'!$B$3</f>
        <v/>
      </c>
      <c r="AG68" s="3">
        <f>IFERROR(INDEX('_Комиссия_ВБ'!$B:$B;MATCH(C68;'_Комиссия_ВБ'!$A:$A;0));0,245)</f>
        <v/>
      </c>
      <c r="AH68" s="3">
        <f>AG68+AF68</f>
        <v/>
      </c>
      <c r="AI68" s="2">
        <f>L68*AH68</f>
        <v/>
      </c>
      <c r="AJ68" s="3">
        <f>IFERROR(INDEX('_Комиссия_ВБ'!$C:$C;MATCH(C68;'_Комиссия_ВБ'!$A:$A;0));0,28)</f>
        <v/>
      </c>
      <c r="AK68" s="3">
        <f>AJ68+AF68</f>
        <v/>
      </c>
      <c r="AL68" s="2">
        <f>L68*AK68</f>
        <v/>
      </c>
      <c r="AM68" s="2" t="n"/>
      <c r="AO68" s="3">
        <f>'_Настройки'!$B$5</f>
        <v/>
      </c>
      <c r="AP68" s="2">
        <f>IF(K68&gt;0;K68*AO68;0)</f>
        <v/>
      </c>
      <c r="AQ68" s="2">
        <f>L68-K68-AI68-AE68-IF(AM68&gt;0;AM68;'_Настройки'!$B$9)-AP68-AC68</f>
        <v/>
      </c>
      <c r="AR68" s="3">
        <f>IF(L68&gt;0;AQ68/L68;"")</f>
        <v/>
      </c>
      <c r="AS68" s="3">
        <f>IF(K68&gt;0;AQ68/K68;"")</f>
        <v/>
      </c>
      <c r="AT68" s="2">
        <f>L68-K68-AL68-AE68-IF(AM68&gt;0;AM68;'_Настройки'!$B$9)-AP68-AC68</f>
        <v/>
      </c>
      <c r="AU68" s="3">
        <f>IF(L68&gt;0;AT68/L68;"")</f>
        <v/>
      </c>
      <c r="AV68" s="3">
        <f>IF(K68&gt;0;AT68/K68;"")</f>
        <v/>
      </c>
    </row>
    <row r="69">
      <c r="A69">
        <f>ROW()-1</f>
        <v/>
      </c>
      <c r="K69" s="2">
        <f>IFERROR(INDEX('_Цены_закупки'!$B:$B;MATCH(C69;'_Цены_закупки'!$A:$A;0));"")</f>
        <v/>
      </c>
      <c r="L69" s="2" t="n"/>
      <c r="M69" s="2" t="n"/>
      <c r="N69" s="3">
        <f>IF(AND(M69&gt;0;L69&gt;0);1-L69/M69;"")</f>
        <v/>
      </c>
      <c r="O69" s="2">
        <f>IF(OR(Q69="";K69=0);"";(K69+IF(AM69&gt;0;AM69;'_Настройки'!$B$9)+AP69+AC69+Q69*K69)/(1-AH69-AD69))</f>
        <v/>
      </c>
      <c r="P69" s="2">
        <f>IF(O69="";"";O69-K69-O69*AH69-O69*AD69-IF(AM69&gt;0;AM69;'_Настройки'!$B$9)-AP69-AC69)</f>
        <v/>
      </c>
      <c r="Q69" s="3">
        <f>IF(AND(O69&gt;0;K69&gt;0);P69/K69;"")</f>
        <v/>
      </c>
      <c r="R69" s="2">
        <f>IF(O69="";"";O69-K69-O69*AK69-O69*AD69-IF(AM69&gt;0;AM69;'_Настройки'!$B$9)-AP69-AC69)</f>
        <v/>
      </c>
      <c r="S69" s="3">
        <f>IF(AND(O69&gt;0;K69&gt;0);R69/K69;"")</f>
        <v/>
      </c>
      <c r="T69" s="2" t="n"/>
      <c r="U69" s="3">
        <f>IF(AND(L69&gt;0;T69&gt;0);1-T69/L69;"")</f>
        <v/>
      </c>
      <c r="V69" s="3">
        <f>'_Настройки'!$B$4</f>
        <v/>
      </c>
      <c r="Z69" s="4">
        <f>IF(AND(W69&gt;0;X69&gt;0;Y69&gt;0);W69*X69*Y69/1000;"")</f>
        <v/>
      </c>
      <c r="AB69" s="2">
        <f>('_Настройки'!$B$6+MAX(0;Z69-1)*'_Настройки'!$B$7)*IF(AA69&gt;0;AA69;'_Настройки'!$B$10)</f>
        <v/>
      </c>
      <c r="AC69" s="2">
        <f>AB69*(1+'_Настройки'!$B$8)</f>
        <v/>
      </c>
      <c r="AD69" s="3">
        <f>'_Настройки'!$B$2</f>
        <v/>
      </c>
      <c r="AE69" s="2">
        <f>L69*AD69</f>
        <v/>
      </c>
      <c r="AF69" s="3">
        <f>'_Настройки'!$B$3</f>
        <v/>
      </c>
      <c r="AG69" s="3">
        <f>IFERROR(INDEX('_Комиссия_ВБ'!$B:$B;MATCH(C69;'_Комиссия_ВБ'!$A:$A;0));0,245)</f>
        <v/>
      </c>
      <c r="AH69" s="3">
        <f>AG69+AF69</f>
        <v/>
      </c>
      <c r="AI69" s="2">
        <f>L69*AH69</f>
        <v/>
      </c>
      <c r="AJ69" s="3">
        <f>IFERROR(INDEX('_Комиссия_ВБ'!$C:$C;MATCH(C69;'_Комиссия_ВБ'!$A:$A;0));0,28)</f>
        <v/>
      </c>
      <c r="AK69" s="3">
        <f>AJ69+AF69</f>
        <v/>
      </c>
      <c r="AL69" s="2">
        <f>L69*AK69</f>
        <v/>
      </c>
      <c r="AM69" s="2" t="n"/>
      <c r="AO69" s="3">
        <f>'_Настройки'!$B$5</f>
        <v/>
      </c>
      <c r="AP69" s="2">
        <f>IF(K69&gt;0;K69*AO69;0)</f>
        <v/>
      </c>
      <c r="AQ69" s="2">
        <f>L69-K69-AI69-AE69-IF(AM69&gt;0;AM69;'_Настройки'!$B$9)-AP69-AC69</f>
        <v/>
      </c>
      <c r="AR69" s="3">
        <f>IF(L69&gt;0;AQ69/L69;"")</f>
        <v/>
      </c>
      <c r="AS69" s="3">
        <f>IF(K69&gt;0;AQ69/K69;"")</f>
        <v/>
      </c>
      <c r="AT69" s="2">
        <f>L69-K69-AL69-AE69-IF(AM69&gt;0;AM69;'_Настройки'!$B$9)-AP69-AC69</f>
        <v/>
      </c>
      <c r="AU69" s="3">
        <f>IF(L69&gt;0;AT69/L69;"")</f>
        <v/>
      </c>
      <c r="AV69" s="3">
        <f>IF(K69&gt;0;AT69/K69;"")</f>
        <v/>
      </c>
    </row>
    <row r="70">
      <c r="A70">
        <f>ROW()-1</f>
        <v/>
      </c>
      <c r="K70" s="2">
        <f>IFERROR(INDEX('_Цены_закупки'!$B:$B;MATCH(C70;'_Цены_закупки'!$A:$A;0));"")</f>
        <v/>
      </c>
      <c r="L70" s="2" t="n"/>
      <c r="M70" s="2" t="n"/>
      <c r="N70" s="3">
        <f>IF(AND(M70&gt;0;L70&gt;0);1-L70/M70;"")</f>
        <v/>
      </c>
      <c r="O70" s="2">
        <f>IF(OR(Q70="";K70=0);"";(K70+IF(AM70&gt;0;AM70;'_Настройки'!$B$9)+AP70+AC70+Q70*K70)/(1-AH70-AD70))</f>
        <v/>
      </c>
      <c r="P70" s="2">
        <f>IF(O70="";"";O70-K70-O70*AH70-O70*AD70-IF(AM70&gt;0;AM70;'_Настройки'!$B$9)-AP70-AC70)</f>
        <v/>
      </c>
      <c r="Q70" s="3">
        <f>IF(AND(O70&gt;0;K70&gt;0);P70/K70;"")</f>
        <v/>
      </c>
      <c r="R70" s="2">
        <f>IF(O70="";"";O70-K70-O70*AK70-O70*AD70-IF(AM70&gt;0;AM70;'_Настройки'!$B$9)-AP70-AC70)</f>
        <v/>
      </c>
      <c r="S70" s="3">
        <f>IF(AND(O70&gt;0;K70&gt;0);R70/K70;"")</f>
        <v/>
      </c>
      <c r="T70" s="2" t="n"/>
      <c r="U70" s="3">
        <f>IF(AND(L70&gt;0;T70&gt;0);1-T70/L70;"")</f>
        <v/>
      </c>
      <c r="V70" s="3">
        <f>'_Настройки'!$B$4</f>
        <v/>
      </c>
      <c r="Z70" s="4">
        <f>IF(AND(W70&gt;0;X70&gt;0;Y70&gt;0);W70*X70*Y70/1000;"")</f>
        <v/>
      </c>
      <c r="AB70" s="2">
        <f>('_Настройки'!$B$6+MAX(0;Z70-1)*'_Настройки'!$B$7)*IF(AA70&gt;0;AA70;'_Настройки'!$B$10)</f>
        <v/>
      </c>
      <c r="AC70" s="2">
        <f>AB70*(1+'_Настройки'!$B$8)</f>
        <v/>
      </c>
      <c r="AD70" s="3">
        <f>'_Настройки'!$B$2</f>
        <v/>
      </c>
      <c r="AE70" s="2">
        <f>L70*AD70</f>
        <v/>
      </c>
      <c r="AF70" s="3">
        <f>'_Настройки'!$B$3</f>
        <v/>
      </c>
      <c r="AG70" s="3">
        <f>IFERROR(INDEX('_Комиссия_ВБ'!$B:$B;MATCH(C70;'_Комиссия_ВБ'!$A:$A;0));0,245)</f>
        <v/>
      </c>
      <c r="AH70" s="3">
        <f>AG70+AF70</f>
        <v/>
      </c>
      <c r="AI70" s="2">
        <f>L70*AH70</f>
        <v/>
      </c>
      <c r="AJ70" s="3">
        <f>IFERROR(INDEX('_Комиссия_ВБ'!$C:$C;MATCH(C70;'_Комиссия_ВБ'!$A:$A;0));0,28)</f>
        <v/>
      </c>
      <c r="AK70" s="3">
        <f>AJ70+AF70</f>
        <v/>
      </c>
      <c r="AL70" s="2">
        <f>L70*AK70</f>
        <v/>
      </c>
      <c r="AM70" s="2" t="n"/>
      <c r="AO70" s="3">
        <f>'_Настройки'!$B$5</f>
        <v/>
      </c>
      <c r="AP70" s="2">
        <f>IF(K70&gt;0;K70*AO70;0)</f>
        <v/>
      </c>
      <c r="AQ70" s="2">
        <f>L70-K70-AI70-AE70-IF(AM70&gt;0;AM70;'_Настройки'!$B$9)-AP70-AC70</f>
        <v/>
      </c>
      <c r="AR70" s="3">
        <f>IF(L70&gt;0;AQ70/L70;"")</f>
        <v/>
      </c>
      <c r="AS70" s="3">
        <f>IF(K70&gt;0;AQ70/K70;"")</f>
        <v/>
      </c>
      <c r="AT70" s="2">
        <f>L70-K70-AL70-AE70-IF(AM70&gt;0;AM70;'_Настройки'!$B$9)-AP70-AC70</f>
        <v/>
      </c>
      <c r="AU70" s="3">
        <f>IF(L70&gt;0;AT70/L70;"")</f>
        <v/>
      </c>
      <c r="AV70" s="3">
        <f>IF(K70&gt;0;AT70/K70;"")</f>
        <v/>
      </c>
    </row>
    <row r="71">
      <c r="A71">
        <f>ROW()-1</f>
        <v/>
      </c>
      <c r="K71" s="2">
        <f>IFERROR(INDEX('_Цены_закупки'!$B:$B;MATCH(C71;'_Цены_закупки'!$A:$A;0));"")</f>
        <v/>
      </c>
      <c r="L71" s="2" t="n"/>
      <c r="M71" s="2" t="n"/>
      <c r="N71" s="3">
        <f>IF(AND(M71&gt;0;L71&gt;0);1-L71/M71;"")</f>
        <v/>
      </c>
      <c r="O71" s="2">
        <f>IF(OR(Q71="";K71=0);"";(K71+IF(AM71&gt;0;AM71;'_Настройки'!$B$9)+AP71+AC71+Q71*K71)/(1-AH71-AD71))</f>
        <v/>
      </c>
      <c r="P71" s="2">
        <f>IF(O71="";"";O71-K71-O71*AH71-O71*AD71-IF(AM71&gt;0;AM71;'_Настройки'!$B$9)-AP71-AC71)</f>
        <v/>
      </c>
      <c r="Q71" s="3">
        <f>IF(AND(O71&gt;0;K71&gt;0);P71/K71;"")</f>
        <v/>
      </c>
      <c r="R71" s="2">
        <f>IF(O71="";"";O71-K71-O71*AK71-O71*AD71-IF(AM71&gt;0;AM71;'_Настройки'!$B$9)-AP71-AC71)</f>
        <v/>
      </c>
      <c r="S71" s="3">
        <f>IF(AND(O71&gt;0;K71&gt;0);R71/K71;"")</f>
        <v/>
      </c>
      <c r="T71" s="2" t="n"/>
      <c r="U71" s="3">
        <f>IF(AND(L71&gt;0;T71&gt;0);1-T71/L71;"")</f>
        <v/>
      </c>
      <c r="V71" s="3">
        <f>'_Настройки'!$B$4</f>
        <v/>
      </c>
      <c r="Z71" s="4">
        <f>IF(AND(W71&gt;0;X71&gt;0;Y71&gt;0);W71*X71*Y71/1000;"")</f>
        <v/>
      </c>
      <c r="AB71" s="2">
        <f>('_Настройки'!$B$6+MAX(0;Z71-1)*'_Настройки'!$B$7)*IF(AA71&gt;0;AA71;'_Настройки'!$B$10)</f>
        <v/>
      </c>
      <c r="AC71" s="2">
        <f>AB71*(1+'_Настройки'!$B$8)</f>
        <v/>
      </c>
      <c r="AD71" s="3">
        <f>'_Настройки'!$B$2</f>
        <v/>
      </c>
      <c r="AE71" s="2">
        <f>L71*AD71</f>
        <v/>
      </c>
      <c r="AF71" s="3">
        <f>'_Настройки'!$B$3</f>
        <v/>
      </c>
      <c r="AG71" s="3">
        <f>IFERROR(INDEX('_Комиссия_ВБ'!$B:$B;MATCH(C71;'_Комиссия_ВБ'!$A:$A;0));0,245)</f>
        <v/>
      </c>
      <c r="AH71" s="3">
        <f>AG71+AF71</f>
        <v/>
      </c>
      <c r="AI71" s="2">
        <f>L71*AH71</f>
        <v/>
      </c>
      <c r="AJ71" s="3">
        <f>IFERROR(INDEX('_Комиссия_ВБ'!$C:$C;MATCH(C71;'_Комиссия_ВБ'!$A:$A;0));0,28)</f>
        <v/>
      </c>
      <c r="AK71" s="3">
        <f>AJ71+AF71</f>
        <v/>
      </c>
      <c r="AL71" s="2">
        <f>L71*AK71</f>
        <v/>
      </c>
      <c r="AM71" s="2" t="n"/>
      <c r="AO71" s="3">
        <f>'_Настройки'!$B$5</f>
        <v/>
      </c>
      <c r="AP71" s="2">
        <f>IF(K71&gt;0;K71*AO71;0)</f>
        <v/>
      </c>
      <c r="AQ71" s="2">
        <f>L71-K71-AI71-AE71-IF(AM71&gt;0;AM71;'_Настройки'!$B$9)-AP71-AC71</f>
        <v/>
      </c>
      <c r="AR71" s="3">
        <f>IF(L71&gt;0;AQ71/L71;"")</f>
        <v/>
      </c>
      <c r="AS71" s="3">
        <f>IF(K71&gt;0;AQ71/K71;"")</f>
        <v/>
      </c>
      <c r="AT71" s="2">
        <f>L71-K71-AL71-AE71-IF(AM71&gt;0;AM71;'_Настройки'!$B$9)-AP71-AC71</f>
        <v/>
      </c>
      <c r="AU71" s="3">
        <f>IF(L71&gt;0;AT71/L71;"")</f>
        <v/>
      </c>
      <c r="AV71" s="3">
        <f>IF(K71&gt;0;AT71/K71;"")</f>
        <v/>
      </c>
    </row>
    <row r="72">
      <c r="A72">
        <f>ROW()-1</f>
        <v/>
      </c>
      <c r="K72" s="2">
        <f>IFERROR(INDEX('_Цены_закупки'!$B:$B;MATCH(C72;'_Цены_закупки'!$A:$A;0));"")</f>
        <v/>
      </c>
      <c r="L72" s="2" t="n"/>
      <c r="M72" s="2" t="n"/>
      <c r="N72" s="3">
        <f>IF(AND(M72&gt;0;L72&gt;0);1-L72/M72;"")</f>
        <v/>
      </c>
      <c r="O72" s="2">
        <f>IF(OR(Q72="";K72=0);"";(K72+IF(AM72&gt;0;AM72;'_Настройки'!$B$9)+AP72+AC72+Q72*K72)/(1-AH72-AD72))</f>
        <v/>
      </c>
      <c r="P72" s="2">
        <f>IF(O72="";"";O72-K72-O72*AH72-O72*AD72-IF(AM72&gt;0;AM72;'_Настройки'!$B$9)-AP72-AC72)</f>
        <v/>
      </c>
      <c r="Q72" s="3">
        <f>IF(AND(O72&gt;0;K72&gt;0);P72/K72;"")</f>
        <v/>
      </c>
      <c r="R72" s="2">
        <f>IF(O72="";"";O72-K72-O72*AK72-O72*AD72-IF(AM72&gt;0;AM72;'_Настройки'!$B$9)-AP72-AC72)</f>
        <v/>
      </c>
      <c r="S72" s="3">
        <f>IF(AND(O72&gt;0;K72&gt;0);R72/K72;"")</f>
        <v/>
      </c>
      <c r="T72" s="2" t="n"/>
      <c r="U72" s="3">
        <f>IF(AND(L72&gt;0;T72&gt;0);1-T72/L72;"")</f>
        <v/>
      </c>
      <c r="V72" s="3">
        <f>'_Настройки'!$B$4</f>
        <v/>
      </c>
      <c r="Z72" s="4">
        <f>IF(AND(W72&gt;0;X72&gt;0;Y72&gt;0);W72*X72*Y72/1000;"")</f>
        <v/>
      </c>
      <c r="AB72" s="2">
        <f>('_Настройки'!$B$6+MAX(0;Z72-1)*'_Настройки'!$B$7)*IF(AA72&gt;0;AA72;'_Настройки'!$B$10)</f>
        <v/>
      </c>
      <c r="AC72" s="2">
        <f>AB72*(1+'_Настройки'!$B$8)</f>
        <v/>
      </c>
      <c r="AD72" s="3">
        <f>'_Настройки'!$B$2</f>
        <v/>
      </c>
      <c r="AE72" s="2">
        <f>L72*AD72</f>
        <v/>
      </c>
      <c r="AF72" s="3">
        <f>'_Настройки'!$B$3</f>
        <v/>
      </c>
      <c r="AG72" s="3">
        <f>IFERROR(INDEX('_Комиссия_ВБ'!$B:$B;MATCH(C72;'_Комиссия_ВБ'!$A:$A;0));0,245)</f>
        <v/>
      </c>
      <c r="AH72" s="3">
        <f>AG72+AF72</f>
        <v/>
      </c>
      <c r="AI72" s="2">
        <f>L72*AH72</f>
        <v/>
      </c>
      <c r="AJ72" s="3">
        <f>IFERROR(INDEX('_Комиссия_ВБ'!$C:$C;MATCH(C72;'_Комиссия_ВБ'!$A:$A;0));0,28)</f>
        <v/>
      </c>
      <c r="AK72" s="3">
        <f>AJ72+AF72</f>
        <v/>
      </c>
      <c r="AL72" s="2">
        <f>L72*AK72</f>
        <v/>
      </c>
      <c r="AM72" s="2" t="n"/>
      <c r="AO72" s="3">
        <f>'_Настройки'!$B$5</f>
        <v/>
      </c>
      <c r="AP72" s="2">
        <f>IF(K72&gt;0;K72*AO72;0)</f>
        <v/>
      </c>
      <c r="AQ72" s="2">
        <f>L72-K72-AI72-AE72-IF(AM72&gt;0;AM72;'_Настройки'!$B$9)-AP72-AC72</f>
        <v/>
      </c>
      <c r="AR72" s="3">
        <f>IF(L72&gt;0;AQ72/L72;"")</f>
        <v/>
      </c>
      <c r="AS72" s="3">
        <f>IF(K72&gt;0;AQ72/K72;"")</f>
        <v/>
      </c>
      <c r="AT72" s="2">
        <f>L72-K72-AL72-AE72-IF(AM72&gt;0;AM72;'_Настройки'!$B$9)-AP72-AC72</f>
        <v/>
      </c>
      <c r="AU72" s="3">
        <f>IF(L72&gt;0;AT72/L72;"")</f>
        <v/>
      </c>
      <c r="AV72" s="3">
        <f>IF(K72&gt;0;AT72/K72;"")</f>
        <v/>
      </c>
    </row>
    <row r="73">
      <c r="A73">
        <f>ROW()-1</f>
        <v/>
      </c>
      <c r="K73" s="2">
        <f>IFERROR(INDEX('_Цены_закупки'!$B:$B;MATCH(C73;'_Цены_закупки'!$A:$A;0));"")</f>
        <v/>
      </c>
      <c r="L73" s="2" t="n"/>
      <c r="M73" s="2" t="n"/>
      <c r="N73" s="3">
        <f>IF(AND(M73&gt;0;L73&gt;0);1-L73/M73;"")</f>
        <v/>
      </c>
      <c r="O73" s="2">
        <f>IF(OR(Q73="";K73=0);"";(K73+IF(AM73&gt;0;AM73;'_Настройки'!$B$9)+AP73+AC73+Q73*K73)/(1-AH73-AD73))</f>
        <v/>
      </c>
      <c r="P73" s="2">
        <f>IF(O73="";"";O73-K73-O73*AH73-O73*AD73-IF(AM73&gt;0;AM73;'_Настройки'!$B$9)-AP73-AC73)</f>
        <v/>
      </c>
      <c r="Q73" s="3">
        <f>IF(AND(O73&gt;0;K73&gt;0);P73/K73;"")</f>
        <v/>
      </c>
      <c r="R73" s="2">
        <f>IF(O73="";"";O73-K73-O73*AK73-O73*AD73-IF(AM73&gt;0;AM73;'_Настройки'!$B$9)-AP73-AC73)</f>
        <v/>
      </c>
      <c r="S73" s="3">
        <f>IF(AND(O73&gt;0;K73&gt;0);R73/K73;"")</f>
        <v/>
      </c>
      <c r="T73" s="2" t="n"/>
      <c r="U73" s="3">
        <f>IF(AND(L73&gt;0;T73&gt;0);1-T73/L73;"")</f>
        <v/>
      </c>
      <c r="V73" s="3">
        <f>'_Настройки'!$B$4</f>
        <v/>
      </c>
      <c r="Z73" s="4">
        <f>IF(AND(W73&gt;0;X73&gt;0;Y73&gt;0);W73*X73*Y73/1000;"")</f>
        <v/>
      </c>
      <c r="AB73" s="2">
        <f>('_Настройки'!$B$6+MAX(0;Z73-1)*'_Настройки'!$B$7)*IF(AA73&gt;0;AA73;'_Настройки'!$B$10)</f>
        <v/>
      </c>
      <c r="AC73" s="2">
        <f>AB73*(1+'_Настройки'!$B$8)</f>
        <v/>
      </c>
      <c r="AD73" s="3">
        <f>'_Настройки'!$B$2</f>
        <v/>
      </c>
      <c r="AE73" s="2">
        <f>L73*AD73</f>
        <v/>
      </c>
      <c r="AF73" s="3">
        <f>'_Настройки'!$B$3</f>
        <v/>
      </c>
      <c r="AG73" s="3">
        <f>IFERROR(INDEX('_Комиссия_ВБ'!$B:$B;MATCH(C73;'_Комиссия_ВБ'!$A:$A;0));0,245)</f>
        <v/>
      </c>
      <c r="AH73" s="3">
        <f>AG73+AF73</f>
        <v/>
      </c>
      <c r="AI73" s="2">
        <f>L73*AH73</f>
        <v/>
      </c>
      <c r="AJ73" s="3">
        <f>IFERROR(INDEX('_Комиссия_ВБ'!$C:$C;MATCH(C73;'_Комиссия_ВБ'!$A:$A;0));0,28)</f>
        <v/>
      </c>
      <c r="AK73" s="3">
        <f>AJ73+AF73</f>
        <v/>
      </c>
      <c r="AL73" s="2">
        <f>L73*AK73</f>
        <v/>
      </c>
      <c r="AM73" s="2" t="n"/>
      <c r="AO73" s="3">
        <f>'_Настройки'!$B$5</f>
        <v/>
      </c>
      <c r="AP73" s="2">
        <f>IF(K73&gt;0;K73*AO73;0)</f>
        <v/>
      </c>
      <c r="AQ73" s="2">
        <f>L73-K73-AI73-AE73-IF(AM73&gt;0;AM73;'_Настройки'!$B$9)-AP73-AC73</f>
        <v/>
      </c>
      <c r="AR73" s="3">
        <f>IF(L73&gt;0;AQ73/L73;"")</f>
        <v/>
      </c>
      <c r="AS73" s="3">
        <f>IF(K73&gt;0;AQ73/K73;"")</f>
        <v/>
      </c>
      <c r="AT73" s="2">
        <f>L73-K73-AL73-AE73-IF(AM73&gt;0;AM73;'_Настройки'!$B$9)-AP73-AC73</f>
        <v/>
      </c>
      <c r="AU73" s="3">
        <f>IF(L73&gt;0;AT73/L73;"")</f>
        <v/>
      </c>
      <c r="AV73" s="3">
        <f>IF(K73&gt;0;AT73/K73;"")</f>
        <v/>
      </c>
    </row>
    <row r="74">
      <c r="A74">
        <f>ROW()-1</f>
        <v/>
      </c>
      <c r="K74" s="2">
        <f>IFERROR(INDEX('_Цены_закупки'!$B:$B;MATCH(C74;'_Цены_закупки'!$A:$A;0));"")</f>
        <v/>
      </c>
      <c r="L74" s="2" t="n"/>
      <c r="M74" s="2" t="n"/>
      <c r="N74" s="3">
        <f>IF(AND(M74&gt;0;L74&gt;0);1-L74/M74;"")</f>
        <v/>
      </c>
      <c r="O74" s="2">
        <f>IF(OR(Q74="";K74=0);"";(K74+IF(AM74&gt;0;AM74;'_Настройки'!$B$9)+AP74+AC74+Q74*K74)/(1-AH74-AD74))</f>
        <v/>
      </c>
      <c r="P74" s="2">
        <f>IF(O74="";"";O74-K74-O74*AH74-O74*AD74-IF(AM74&gt;0;AM74;'_Настройки'!$B$9)-AP74-AC74)</f>
        <v/>
      </c>
      <c r="Q74" s="3">
        <f>IF(AND(O74&gt;0;K74&gt;0);P74/K74;"")</f>
        <v/>
      </c>
      <c r="R74" s="2">
        <f>IF(O74="";"";O74-K74-O74*AK74-O74*AD74-IF(AM74&gt;0;AM74;'_Настройки'!$B$9)-AP74-AC74)</f>
        <v/>
      </c>
      <c r="S74" s="3">
        <f>IF(AND(O74&gt;0;K74&gt;0);R74/K74;"")</f>
        <v/>
      </c>
      <c r="T74" s="2" t="n"/>
      <c r="U74" s="3">
        <f>IF(AND(L74&gt;0;T74&gt;0);1-T74/L74;"")</f>
        <v/>
      </c>
      <c r="V74" s="3">
        <f>'_Настройки'!$B$4</f>
        <v/>
      </c>
      <c r="Z74" s="4">
        <f>IF(AND(W74&gt;0;X74&gt;0;Y74&gt;0);W74*X74*Y74/1000;"")</f>
        <v/>
      </c>
      <c r="AB74" s="2">
        <f>('_Настройки'!$B$6+MAX(0;Z74-1)*'_Настройки'!$B$7)*IF(AA74&gt;0;AA74;'_Настройки'!$B$10)</f>
        <v/>
      </c>
      <c r="AC74" s="2">
        <f>AB74*(1+'_Настройки'!$B$8)</f>
        <v/>
      </c>
      <c r="AD74" s="3">
        <f>'_Настройки'!$B$2</f>
        <v/>
      </c>
      <c r="AE74" s="2">
        <f>L74*AD74</f>
        <v/>
      </c>
      <c r="AF74" s="3">
        <f>'_Настройки'!$B$3</f>
        <v/>
      </c>
      <c r="AG74" s="3">
        <f>IFERROR(INDEX('_Комиссия_ВБ'!$B:$B;MATCH(C74;'_Комиссия_ВБ'!$A:$A;0));0,245)</f>
        <v/>
      </c>
      <c r="AH74" s="3">
        <f>AG74+AF74</f>
        <v/>
      </c>
      <c r="AI74" s="2">
        <f>L74*AH74</f>
        <v/>
      </c>
      <c r="AJ74" s="3">
        <f>IFERROR(INDEX('_Комиссия_ВБ'!$C:$C;MATCH(C74;'_Комиссия_ВБ'!$A:$A;0));0,28)</f>
        <v/>
      </c>
      <c r="AK74" s="3">
        <f>AJ74+AF74</f>
        <v/>
      </c>
      <c r="AL74" s="2">
        <f>L74*AK74</f>
        <v/>
      </c>
      <c r="AM74" s="2" t="n"/>
      <c r="AO74" s="3">
        <f>'_Настройки'!$B$5</f>
        <v/>
      </c>
      <c r="AP74" s="2">
        <f>IF(K74&gt;0;K74*AO74;0)</f>
        <v/>
      </c>
      <c r="AQ74" s="2">
        <f>L74-K74-AI74-AE74-IF(AM74&gt;0;AM74;'_Настройки'!$B$9)-AP74-AC74</f>
        <v/>
      </c>
      <c r="AR74" s="3">
        <f>IF(L74&gt;0;AQ74/L74;"")</f>
        <v/>
      </c>
      <c r="AS74" s="3">
        <f>IF(K74&gt;0;AQ74/K74;"")</f>
        <v/>
      </c>
      <c r="AT74" s="2">
        <f>L74-K74-AL74-AE74-IF(AM74&gt;0;AM74;'_Настройки'!$B$9)-AP74-AC74</f>
        <v/>
      </c>
      <c r="AU74" s="3">
        <f>IF(L74&gt;0;AT74/L74;"")</f>
        <v/>
      </c>
      <c r="AV74" s="3">
        <f>IF(K74&gt;0;AT74/K74;"")</f>
        <v/>
      </c>
    </row>
    <row r="75">
      <c r="A75">
        <f>ROW()-1</f>
        <v/>
      </c>
      <c r="K75" s="2">
        <f>IFERROR(INDEX('_Цены_закупки'!$B:$B;MATCH(C75;'_Цены_закупки'!$A:$A;0));"")</f>
        <v/>
      </c>
      <c r="L75" s="2" t="n"/>
      <c r="M75" s="2" t="n"/>
      <c r="N75" s="3">
        <f>IF(AND(M75&gt;0;L75&gt;0);1-L75/M75;"")</f>
        <v/>
      </c>
      <c r="O75" s="2">
        <f>IF(OR(Q75="";K75=0);"";(K75+IF(AM75&gt;0;AM75;'_Настройки'!$B$9)+AP75+AC75+Q75*K75)/(1-AH75-AD75))</f>
        <v/>
      </c>
      <c r="P75" s="2">
        <f>IF(O75="";"";O75-K75-O75*AH75-O75*AD75-IF(AM75&gt;0;AM75;'_Настройки'!$B$9)-AP75-AC75)</f>
        <v/>
      </c>
      <c r="Q75" s="3">
        <f>IF(AND(O75&gt;0;K75&gt;0);P75/K75;"")</f>
        <v/>
      </c>
      <c r="R75" s="2">
        <f>IF(O75="";"";O75-K75-O75*AK75-O75*AD75-IF(AM75&gt;0;AM75;'_Настройки'!$B$9)-AP75-AC75)</f>
        <v/>
      </c>
      <c r="S75" s="3">
        <f>IF(AND(O75&gt;0;K75&gt;0);R75/K75;"")</f>
        <v/>
      </c>
      <c r="T75" s="2" t="n"/>
      <c r="U75" s="3">
        <f>IF(AND(L75&gt;0;T75&gt;0);1-T75/L75;"")</f>
        <v/>
      </c>
      <c r="V75" s="3">
        <f>'_Настройки'!$B$4</f>
        <v/>
      </c>
      <c r="Z75" s="4">
        <f>IF(AND(W75&gt;0;X75&gt;0;Y75&gt;0);W75*X75*Y75/1000;"")</f>
        <v/>
      </c>
      <c r="AB75" s="2">
        <f>('_Настройки'!$B$6+MAX(0;Z75-1)*'_Настройки'!$B$7)*IF(AA75&gt;0;AA75;'_Настройки'!$B$10)</f>
        <v/>
      </c>
      <c r="AC75" s="2">
        <f>AB75*(1+'_Настройки'!$B$8)</f>
        <v/>
      </c>
      <c r="AD75" s="3">
        <f>'_Настройки'!$B$2</f>
        <v/>
      </c>
      <c r="AE75" s="2">
        <f>L75*AD75</f>
        <v/>
      </c>
      <c r="AF75" s="3">
        <f>'_Настройки'!$B$3</f>
        <v/>
      </c>
      <c r="AG75" s="3">
        <f>IFERROR(INDEX('_Комиссия_ВБ'!$B:$B;MATCH(C75;'_Комиссия_ВБ'!$A:$A;0));0,245)</f>
        <v/>
      </c>
      <c r="AH75" s="3">
        <f>AG75+AF75</f>
        <v/>
      </c>
      <c r="AI75" s="2">
        <f>L75*AH75</f>
        <v/>
      </c>
      <c r="AJ75" s="3">
        <f>IFERROR(INDEX('_Комиссия_ВБ'!$C:$C;MATCH(C75;'_Комиссия_ВБ'!$A:$A;0));0,28)</f>
        <v/>
      </c>
      <c r="AK75" s="3">
        <f>AJ75+AF75</f>
        <v/>
      </c>
      <c r="AL75" s="2">
        <f>L75*AK75</f>
        <v/>
      </c>
      <c r="AM75" s="2" t="n"/>
      <c r="AO75" s="3">
        <f>'_Настройки'!$B$5</f>
        <v/>
      </c>
      <c r="AP75" s="2">
        <f>IF(K75&gt;0;K75*AO75;0)</f>
        <v/>
      </c>
      <c r="AQ75" s="2">
        <f>L75-K75-AI75-AE75-IF(AM75&gt;0;AM75;'_Настройки'!$B$9)-AP75-AC75</f>
        <v/>
      </c>
      <c r="AR75" s="3">
        <f>IF(L75&gt;0;AQ75/L75;"")</f>
        <v/>
      </c>
      <c r="AS75" s="3">
        <f>IF(K75&gt;0;AQ75/K75;"")</f>
        <v/>
      </c>
      <c r="AT75" s="2">
        <f>L75-K75-AL75-AE75-IF(AM75&gt;0;AM75;'_Настройки'!$B$9)-AP75-AC75</f>
        <v/>
      </c>
      <c r="AU75" s="3">
        <f>IF(L75&gt;0;AT75/L75;"")</f>
        <v/>
      </c>
      <c r="AV75" s="3">
        <f>IF(K75&gt;0;AT75/K75;"")</f>
        <v/>
      </c>
    </row>
    <row r="76">
      <c r="A76">
        <f>ROW()-1</f>
        <v/>
      </c>
      <c r="K76" s="2">
        <f>IFERROR(INDEX('_Цены_закупки'!$B:$B;MATCH(C76;'_Цены_закупки'!$A:$A;0));"")</f>
        <v/>
      </c>
      <c r="L76" s="2" t="n"/>
      <c r="M76" s="2" t="n"/>
      <c r="N76" s="3">
        <f>IF(AND(M76&gt;0;L76&gt;0);1-L76/M76;"")</f>
        <v/>
      </c>
      <c r="O76" s="2">
        <f>IF(OR(Q76="";K76=0);"";(K76+IF(AM76&gt;0;AM76;'_Настройки'!$B$9)+AP76+AC76+Q76*K76)/(1-AH76-AD76))</f>
        <v/>
      </c>
      <c r="P76" s="2">
        <f>IF(O76="";"";O76-K76-O76*AH76-O76*AD76-IF(AM76&gt;0;AM76;'_Настройки'!$B$9)-AP76-AC76)</f>
        <v/>
      </c>
      <c r="Q76" s="3">
        <f>IF(AND(O76&gt;0;K76&gt;0);P76/K76;"")</f>
        <v/>
      </c>
      <c r="R76" s="2">
        <f>IF(O76="";"";O76-K76-O76*AK76-O76*AD76-IF(AM76&gt;0;AM76;'_Настройки'!$B$9)-AP76-AC76)</f>
        <v/>
      </c>
      <c r="S76" s="3">
        <f>IF(AND(O76&gt;0;K76&gt;0);R76/K76;"")</f>
        <v/>
      </c>
      <c r="T76" s="2" t="n"/>
      <c r="U76" s="3">
        <f>IF(AND(L76&gt;0;T76&gt;0);1-T76/L76;"")</f>
        <v/>
      </c>
      <c r="V76" s="3">
        <f>'_Настройки'!$B$4</f>
        <v/>
      </c>
      <c r="Z76" s="4">
        <f>IF(AND(W76&gt;0;X76&gt;0;Y76&gt;0);W76*X76*Y76/1000;"")</f>
        <v/>
      </c>
      <c r="AB76" s="2">
        <f>('_Настройки'!$B$6+MAX(0;Z76-1)*'_Настройки'!$B$7)*IF(AA76&gt;0;AA76;'_Настройки'!$B$10)</f>
        <v/>
      </c>
      <c r="AC76" s="2">
        <f>AB76*(1+'_Настройки'!$B$8)</f>
        <v/>
      </c>
      <c r="AD76" s="3">
        <f>'_Настройки'!$B$2</f>
        <v/>
      </c>
      <c r="AE76" s="2">
        <f>L76*AD76</f>
        <v/>
      </c>
      <c r="AF76" s="3">
        <f>'_Настройки'!$B$3</f>
        <v/>
      </c>
      <c r="AG76" s="3">
        <f>IFERROR(INDEX('_Комиссия_ВБ'!$B:$B;MATCH(C76;'_Комиссия_ВБ'!$A:$A;0));0,245)</f>
        <v/>
      </c>
      <c r="AH76" s="3">
        <f>AG76+AF76</f>
        <v/>
      </c>
      <c r="AI76" s="2">
        <f>L76*AH76</f>
        <v/>
      </c>
      <c r="AJ76" s="3">
        <f>IFERROR(INDEX('_Комиссия_ВБ'!$C:$C;MATCH(C76;'_Комиссия_ВБ'!$A:$A;0));0,28)</f>
        <v/>
      </c>
      <c r="AK76" s="3">
        <f>AJ76+AF76</f>
        <v/>
      </c>
      <c r="AL76" s="2">
        <f>L76*AK76</f>
        <v/>
      </c>
      <c r="AM76" s="2" t="n"/>
      <c r="AO76" s="3">
        <f>'_Настройки'!$B$5</f>
        <v/>
      </c>
      <c r="AP76" s="2">
        <f>IF(K76&gt;0;K76*AO76;0)</f>
        <v/>
      </c>
      <c r="AQ76" s="2">
        <f>L76-K76-AI76-AE76-IF(AM76&gt;0;AM76;'_Настройки'!$B$9)-AP76-AC76</f>
        <v/>
      </c>
      <c r="AR76" s="3">
        <f>IF(L76&gt;0;AQ76/L76;"")</f>
        <v/>
      </c>
      <c r="AS76" s="3">
        <f>IF(K76&gt;0;AQ76/K76;"")</f>
        <v/>
      </c>
      <c r="AT76" s="2">
        <f>L76-K76-AL76-AE76-IF(AM76&gt;0;AM76;'_Настройки'!$B$9)-AP76-AC76</f>
        <v/>
      </c>
      <c r="AU76" s="3">
        <f>IF(L76&gt;0;AT76/L76;"")</f>
        <v/>
      </c>
      <c r="AV76" s="3">
        <f>IF(K76&gt;0;AT76/K76;"")</f>
        <v/>
      </c>
    </row>
    <row r="77">
      <c r="A77">
        <f>ROW()-1</f>
        <v/>
      </c>
      <c r="K77" s="2">
        <f>IFERROR(INDEX('_Цены_закупки'!$B:$B;MATCH(C77;'_Цены_закупки'!$A:$A;0));"")</f>
        <v/>
      </c>
      <c r="L77" s="2" t="n"/>
      <c r="M77" s="2" t="n"/>
      <c r="N77" s="3">
        <f>IF(AND(M77&gt;0;L77&gt;0);1-L77/M77;"")</f>
        <v/>
      </c>
      <c r="O77" s="2">
        <f>IF(OR(Q77="";K77=0);"";(K77+IF(AM77&gt;0;AM77;'_Настройки'!$B$9)+AP77+AC77+Q77*K77)/(1-AH77-AD77))</f>
        <v/>
      </c>
      <c r="P77" s="2">
        <f>IF(O77="";"";O77-K77-O77*AH77-O77*AD77-IF(AM77&gt;0;AM77;'_Настройки'!$B$9)-AP77-AC77)</f>
        <v/>
      </c>
      <c r="Q77" s="3">
        <f>IF(AND(O77&gt;0;K77&gt;0);P77/K77;"")</f>
        <v/>
      </c>
      <c r="R77" s="2">
        <f>IF(O77="";"";O77-K77-O77*AK77-O77*AD77-IF(AM77&gt;0;AM77;'_Настройки'!$B$9)-AP77-AC77)</f>
        <v/>
      </c>
      <c r="S77" s="3">
        <f>IF(AND(O77&gt;0;K77&gt;0);R77/K77;"")</f>
        <v/>
      </c>
      <c r="T77" s="2" t="n"/>
      <c r="U77" s="3">
        <f>IF(AND(L77&gt;0;T77&gt;0);1-T77/L77;"")</f>
        <v/>
      </c>
      <c r="V77" s="3">
        <f>'_Настройки'!$B$4</f>
        <v/>
      </c>
      <c r="Z77" s="4">
        <f>IF(AND(W77&gt;0;X77&gt;0;Y77&gt;0);W77*X77*Y77/1000;"")</f>
        <v/>
      </c>
      <c r="AB77" s="2">
        <f>('_Настройки'!$B$6+MAX(0;Z77-1)*'_Настройки'!$B$7)*IF(AA77&gt;0;AA77;'_Настройки'!$B$10)</f>
        <v/>
      </c>
      <c r="AC77" s="2">
        <f>AB77*(1+'_Настройки'!$B$8)</f>
        <v/>
      </c>
      <c r="AD77" s="3">
        <f>'_Настройки'!$B$2</f>
        <v/>
      </c>
      <c r="AE77" s="2">
        <f>L77*AD77</f>
        <v/>
      </c>
      <c r="AF77" s="3">
        <f>'_Настройки'!$B$3</f>
        <v/>
      </c>
      <c r="AG77" s="3">
        <f>IFERROR(INDEX('_Комиссия_ВБ'!$B:$B;MATCH(C77;'_Комиссия_ВБ'!$A:$A;0));0,245)</f>
        <v/>
      </c>
      <c r="AH77" s="3">
        <f>AG77+AF77</f>
        <v/>
      </c>
      <c r="AI77" s="2">
        <f>L77*AH77</f>
        <v/>
      </c>
      <c r="AJ77" s="3">
        <f>IFERROR(INDEX('_Комиссия_ВБ'!$C:$C;MATCH(C77;'_Комиссия_ВБ'!$A:$A;0));0,28)</f>
        <v/>
      </c>
      <c r="AK77" s="3">
        <f>AJ77+AF77</f>
        <v/>
      </c>
      <c r="AL77" s="2">
        <f>L77*AK77</f>
        <v/>
      </c>
      <c r="AM77" s="2" t="n"/>
      <c r="AO77" s="3">
        <f>'_Настройки'!$B$5</f>
        <v/>
      </c>
      <c r="AP77" s="2">
        <f>IF(K77&gt;0;K77*AO77;0)</f>
        <v/>
      </c>
      <c r="AQ77" s="2">
        <f>L77-K77-AI77-AE77-IF(AM77&gt;0;AM77;'_Настройки'!$B$9)-AP77-AC77</f>
        <v/>
      </c>
      <c r="AR77" s="3">
        <f>IF(L77&gt;0;AQ77/L77;"")</f>
        <v/>
      </c>
      <c r="AS77" s="3">
        <f>IF(K77&gt;0;AQ77/K77;"")</f>
        <v/>
      </c>
      <c r="AT77" s="2">
        <f>L77-K77-AL77-AE77-IF(AM77&gt;0;AM77;'_Настройки'!$B$9)-AP77-AC77</f>
        <v/>
      </c>
      <c r="AU77" s="3">
        <f>IF(L77&gt;0;AT77/L77;"")</f>
        <v/>
      </c>
      <c r="AV77" s="3">
        <f>IF(K77&gt;0;AT77/K77;"")</f>
        <v/>
      </c>
    </row>
    <row r="78">
      <c r="A78">
        <f>ROW()-1</f>
        <v/>
      </c>
      <c r="K78" s="2">
        <f>IFERROR(INDEX('_Цены_закупки'!$B:$B;MATCH(C78;'_Цены_закупки'!$A:$A;0));"")</f>
        <v/>
      </c>
      <c r="L78" s="2" t="n"/>
      <c r="M78" s="2" t="n"/>
      <c r="N78" s="3">
        <f>IF(AND(M78&gt;0;L78&gt;0);1-L78/M78;"")</f>
        <v/>
      </c>
      <c r="O78" s="2">
        <f>IF(OR(Q78="";K78=0);"";(K78+IF(AM78&gt;0;AM78;'_Настройки'!$B$9)+AP78+AC78+Q78*K78)/(1-AH78-AD78))</f>
        <v/>
      </c>
      <c r="P78" s="2">
        <f>IF(O78="";"";O78-K78-O78*AH78-O78*AD78-IF(AM78&gt;0;AM78;'_Настройки'!$B$9)-AP78-AC78)</f>
        <v/>
      </c>
      <c r="Q78" s="3">
        <f>IF(AND(O78&gt;0;K78&gt;0);P78/K78;"")</f>
        <v/>
      </c>
      <c r="R78" s="2">
        <f>IF(O78="";"";O78-K78-O78*AK78-O78*AD78-IF(AM78&gt;0;AM78;'_Настройки'!$B$9)-AP78-AC78)</f>
        <v/>
      </c>
      <c r="S78" s="3">
        <f>IF(AND(O78&gt;0;K78&gt;0);R78/K78;"")</f>
        <v/>
      </c>
      <c r="T78" s="2" t="n"/>
      <c r="U78" s="3">
        <f>IF(AND(L78&gt;0;T78&gt;0);1-T78/L78;"")</f>
        <v/>
      </c>
      <c r="V78" s="3">
        <f>'_Настройки'!$B$4</f>
        <v/>
      </c>
      <c r="Z78" s="4">
        <f>IF(AND(W78&gt;0;X78&gt;0;Y78&gt;0);W78*X78*Y78/1000;"")</f>
        <v/>
      </c>
      <c r="AB78" s="2">
        <f>('_Настройки'!$B$6+MAX(0;Z78-1)*'_Настройки'!$B$7)*IF(AA78&gt;0;AA78;'_Настройки'!$B$10)</f>
        <v/>
      </c>
      <c r="AC78" s="2">
        <f>AB78*(1+'_Настройки'!$B$8)</f>
        <v/>
      </c>
      <c r="AD78" s="3">
        <f>'_Настройки'!$B$2</f>
        <v/>
      </c>
      <c r="AE78" s="2">
        <f>L78*AD78</f>
        <v/>
      </c>
      <c r="AF78" s="3">
        <f>'_Настройки'!$B$3</f>
        <v/>
      </c>
      <c r="AG78" s="3">
        <f>IFERROR(INDEX('_Комиссия_ВБ'!$B:$B;MATCH(C78;'_Комиссия_ВБ'!$A:$A;0));0,245)</f>
        <v/>
      </c>
      <c r="AH78" s="3">
        <f>AG78+AF78</f>
        <v/>
      </c>
      <c r="AI78" s="2">
        <f>L78*AH78</f>
        <v/>
      </c>
      <c r="AJ78" s="3">
        <f>IFERROR(INDEX('_Комиссия_ВБ'!$C:$C;MATCH(C78;'_Комиссия_ВБ'!$A:$A;0));0,28)</f>
        <v/>
      </c>
      <c r="AK78" s="3">
        <f>AJ78+AF78</f>
        <v/>
      </c>
      <c r="AL78" s="2">
        <f>L78*AK78</f>
        <v/>
      </c>
      <c r="AM78" s="2" t="n"/>
      <c r="AO78" s="3">
        <f>'_Настройки'!$B$5</f>
        <v/>
      </c>
      <c r="AP78" s="2">
        <f>IF(K78&gt;0;K78*AO78;0)</f>
        <v/>
      </c>
      <c r="AQ78" s="2">
        <f>L78-K78-AI78-AE78-IF(AM78&gt;0;AM78;'_Настройки'!$B$9)-AP78-AC78</f>
        <v/>
      </c>
      <c r="AR78" s="3">
        <f>IF(L78&gt;0;AQ78/L78;"")</f>
        <v/>
      </c>
      <c r="AS78" s="3">
        <f>IF(K78&gt;0;AQ78/K78;"")</f>
        <v/>
      </c>
      <c r="AT78" s="2">
        <f>L78-K78-AL78-AE78-IF(AM78&gt;0;AM78;'_Настройки'!$B$9)-AP78-AC78</f>
        <v/>
      </c>
      <c r="AU78" s="3">
        <f>IF(L78&gt;0;AT78/L78;"")</f>
        <v/>
      </c>
      <c r="AV78" s="3">
        <f>IF(K78&gt;0;AT78/K78;"")</f>
        <v/>
      </c>
    </row>
    <row r="79">
      <c r="A79">
        <f>ROW()-1</f>
        <v/>
      </c>
      <c r="K79" s="2">
        <f>IFERROR(INDEX('_Цены_закупки'!$B:$B;MATCH(C79;'_Цены_закупки'!$A:$A;0));"")</f>
        <v/>
      </c>
      <c r="L79" s="2" t="n"/>
      <c r="M79" s="2" t="n"/>
      <c r="N79" s="3">
        <f>IF(AND(M79&gt;0;L79&gt;0);1-L79/M79;"")</f>
        <v/>
      </c>
      <c r="O79" s="2">
        <f>IF(OR(Q79="";K79=0);"";(K79+IF(AM79&gt;0;AM79;'_Настройки'!$B$9)+AP79+AC79+Q79*K79)/(1-AH79-AD79))</f>
        <v/>
      </c>
      <c r="P79" s="2">
        <f>IF(O79="";"";O79-K79-O79*AH79-O79*AD79-IF(AM79&gt;0;AM79;'_Настройки'!$B$9)-AP79-AC79)</f>
        <v/>
      </c>
      <c r="Q79" s="3">
        <f>IF(AND(O79&gt;0;K79&gt;0);P79/K79;"")</f>
        <v/>
      </c>
      <c r="R79" s="2">
        <f>IF(O79="";"";O79-K79-O79*AK79-O79*AD79-IF(AM79&gt;0;AM79;'_Настройки'!$B$9)-AP79-AC79)</f>
        <v/>
      </c>
      <c r="S79" s="3">
        <f>IF(AND(O79&gt;0;K79&gt;0);R79/K79;"")</f>
        <v/>
      </c>
      <c r="T79" s="2" t="n"/>
      <c r="U79" s="3">
        <f>IF(AND(L79&gt;0;T79&gt;0);1-T79/L79;"")</f>
        <v/>
      </c>
      <c r="V79" s="3">
        <f>'_Настройки'!$B$4</f>
        <v/>
      </c>
      <c r="Z79" s="4">
        <f>IF(AND(W79&gt;0;X79&gt;0;Y79&gt;0);W79*X79*Y79/1000;"")</f>
        <v/>
      </c>
      <c r="AB79" s="2">
        <f>('_Настройки'!$B$6+MAX(0;Z79-1)*'_Настройки'!$B$7)*IF(AA79&gt;0;AA79;'_Настройки'!$B$10)</f>
        <v/>
      </c>
      <c r="AC79" s="2">
        <f>AB79*(1+'_Настройки'!$B$8)</f>
        <v/>
      </c>
      <c r="AD79" s="3">
        <f>'_Настройки'!$B$2</f>
        <v/>
      </c>
      <c r="AE79" s="2">
        <f>L79*AD79</f>
        <v/>
      </c>
      <c r="AF79" s="3">
        <f>'_Настройки'!$B$3</f>
        <v/>
      </c>
      <c r="AG79" s="3">
        <f>IFERROR(INDEX('_Комиссия_ВБ'!$B:$B;MATCH(C79;'_Комиссия_ВБ'!$A:$A;0));0,245)</f>
        <v/>
      </c>
      <c r="AH79" s="3">
        <f>AG79+AF79</f>
        <v/>
      </c>
      <c r="AI79" s="2">
        <f>L79*AH79</f>
        <v/>
      </c>
      <c r="AJ79" s="3">
        <f>IFERROR(INDEX('_Комиссия_ВБ'!$C:$C;MATCH(C79;'_Комиссия_ВБ'!$A:$A;0));0,28)</f>
        <v/>
      </c>
      <c r="AK79" s="3">
        <f>AJ79+AF79</f>
        <v/>
      </c>
      <c r="AL79" s="2">
        <f>L79*AK79</f>
        <v/>
      </c>
      <c r="AM79" s="2" t="n"/>
      <c r="AO79" s="3">
        <f>'_Настройки'!$B$5</f>
        <v/>
      </c>
      <c r="AP79" s="2">
        <f>IF(K79&gt;0;K79*AO79;0)</f>
        <v/>
      </c>
      <c r="AQ79" s="2">
        <f>L79-K79-AI79-AE79-IF(AM79&gt;0;AM79;'_Настройки'!$B$9)-AP79-AC79</f>
        <v/>
      </c>
      <c r="AR79" s="3">
        <f>IF(L79&gt;0;AQ79/L79;"")</f>
        <v/>
      </c>
      <c r="AS79" s="3">
        <f>IF(K79&gt;0;AQ79/K79;"")</f>
        <v/>
      </c>
      <c r="AT79" s="2">
        <f>L79-K79-AL79-AE79-IF(AM79&gt;0;AM79;'_Настройки'!$B$9)-AP79-AC79</f>
        <v/>
      </c>
      <c r="AU79" s="3">
        <f>IF(L79&gt;0;AT79/L79;"")</f>
        <v/>
      </c>
      <c r="AV79" s="3">
        <f>IF(K79&gt;0;AT79/K79;"")</f>
        <v/>
      </c>
    </row>
    <row r="80">
      <c r="A80">
        <f>ROW()-1</f>
        <v/>
      </c>
      <c r="K80" s="2">
        <f>IFERROR(INDEX('_Цены_закупки'!$B:$B;MATCH(C80;'_Цены_закупки'!$A:$A;0));"")</f>
        <v/>
      </c>
      <c r="L80" s="2" t="n"/>
      <c r="M80" s="2" t="n"/>
      <c r="N80" s="3">
        <f>IF(AND(M80&gt;0;L80&gt;0);1-L80/M80;"")</f>
        <v/>
      </c>
      <c r="O80" s="2">
        <f>IF(OR(Q80="";K80=0);"";(K80+IF(AM80&gt;0;AM80;'_Настройки'!$B$9)+AP80+AC80+Q80*K80)/(1-AH80-AD80))</f>
        <v/>
      </c>
      <c r="P80" s="2">
        <f>IF(O80="";"";O80-K80-O80*AH80-O80*AD80-IF(AM80&gt;0;AM80;'_Настройки'!$B$9)-AP80-AC80)</f>
        <v/>
      </c>
      <c r="Q80" s="3">
        <f>IF(AND(O80&gt;0;K80&gt;0);P80/K80;"")</f>
        <v/>
      </c>
      <c r="R80" s="2">
        <f>IF(O80="";"";O80-K80-O80*AK80-O80*AD80-IF(AM80&gt;0;AM80;'_Настройки'!$B$9)-AP80-AC80)</f>
        <v/>
      </c>
      <c r="S80" s="3">
        <f>IF(AND(O80&gt;0;K80&gt;0);R80/K80;"")</f>
        <v/>
      </c>
      <c r="T80" s="2" t="n"/>
      <c r="U80" s="3">
        <f>IF(AND(L80&gt;0;T80&gt;0);1-T80/L80;"")</f>
        <v/>
      </c>
      <c r="V80" s="3">
        <f>'_Настройки'!$B$4</f>
        <v/>
      </c>
      <c r="Z80" s="4">
        <f>IF(AND(W80&gt;0;X80&gt;0;Y80&gt;0);W80*X80*Y80/1000;"")</f>
        <v/>
      </c>
      <c r="AB80" s="2">
        <f>('_Настройки'!$B$6+MAX(0;Z80-1)*'_Настройки'!$B$7)*IF(AA80&gt;0;AA80;'_Настройки'!$B$10)</f>
        <v/>
      </c>
      <c r="AC80" s="2">
        <f>AB80*(1+'_Настройки'!$B$8)</f>
        <v/>
      </c>
      <c r="AD80" s="3">
        <f>'_Настройки'!$B$2</f>
        <v/>
      </c>
      <c r="AE80" s="2">
        <f>L80*AD80</f>
        <v/>
      </c>
      <c r="AF80" s="3">
        <f>'_Настройки'!$B$3</f>
        <v/>
      </c>
      <c r="AG80" s="3">
        <f>IFERROR(INDEX('_Комиссия_ВБ'!$B:$B;MATCH(C80;'_Комиссия_ВБ'!$A:$A;0));0,245)</f>
        <v/>
      </c>
      <c r="AH80" s="3">
        <f>AG80+AF80</f>
        <v/>
      </c>
      <c r="AI80" s="2">
        <f>L80*AH80</f>
        <v/>
      </c>
      <c r="AJ80" s="3">
        <f>IFERROR(INDEX('_Комиссия_ВБ'!$C:$C;MATCH(C80;'_Комиссия_ВБ'!$A:$A;0));0,28)</f>
        <v/>
      </c>
      <c r="AK80" s="3">
        <f>AJ80+AF80</f>
        <v/>
      </c>
      <c r="AL80" s="2">
        <f>L80*AK80</f>
        <v/>
      </c>
      <c r="AM80" s="2" t="n"/>
      <c r="AO80" s="3">
        <f>'_Настройки'!$B$5</f>
        <v/>
      </c>
      <c r="AP80" s="2">
        <f>IF(K80&gt;0;K80*AO80;0)</f>
        <v/>
      </c>
      <c r="AQ80" s="2">
        <f>L80-K80-AI80-AE80-IF(AM80&gt;0;AM80;'_Настройки'!$B$9)-AP80-AC80</f>
        <v/>
      </c>
      <c r="AR80" s="3">
        <f>IF(L80&gt;0;AQ80/L80;"")</f>
        <v/>
      </c>
      <c r="AS80" s="3">
        <f>IF(K80&gt;0;AQ80/K80;"")</f>
        <v/>
      </c>
      <c r="AT80" s="2">
        <f>L80-K80-AL80-AE80-IF(AM80&gt;0;AM80;'_Настройки'!$B$9)-AP80-AC80</f>
        <v/>
      </c>
      <c r="AU80" s="3">
        <f>IF(L80&gt;0;AT80/L80;"")</f>
        <v/>
      </c>
      <c r="AV80" s="3">
        <f>IF(K80&gt;0;AT80/K80;"")</f>
        <v/>
      </c>
    </row>
    <row r="81">
      <c r="A81">
        <f>ROW()-1</f>
        <v/>
      </c>
      <c r="K81" s="2">
        <f>IFERROR(INDEX('_Цены_закупки'!$B:$B;MATCH(C81;'_Цены_закупки'!$A:$A;0));"")</f>
        <v/>
      </c>
      <c r="L81" s="2" t="n"/>
      <c r="M81" s="2" t="n"/>
      <c r="N81" s="3">
        <f>IF(AND(M81&gt;0;L81&gt;0);1-L81/M81;"")</f>
        <v/>
      </c>
      <c r="O81" s="2">
        <f>IF(OR(Q81="";K81=0);"";(K81+IF(AM81&gt;0;AM81;'_Настройки'!$B$9)+AP81+AC81+Q81*K81)/(1-AH81-AD81))</f>
        <v/>
      </c>
      <c r="P81" s="2">
        <f>IF(O81="";"";O81-K81-O81*AH81-O81*AD81-IF(AM81&gt;0;AM81;'_Настройки'!$B$9)-AP81-AC81)</f>
        <v/>
      </c>
      <c r="Q81" s="3">
        <f>IF(AND(O81&gt;0;K81&gt;0);P81/K81;"")</f>
        <v/>
      </c>
      <c r="R81" s="2">
        <f>IF(O81="";"";O81-K81-O81*AK81-O81*AD81-IF(AM81&gt;0;AM81;'_Настройки'!$B$9)-AP81-AC81)</f>
        <v/>
      </c>
      <c r="S81" s="3">
        <f>IF(AND(O81&gt;0;K81&gt;0);R81/K81;"")</f>
        <v/>
      </c>
      <c r="T81" s="2" t="n"/>
      <c r="U81" s="3">
        <f>IF(AND(L81&gt;0;T81&gt;0);1-T81/L81;"")</f>
        <v/>
      </c>
      <c r="V81" s="3">
        <f>'_Настройки'!$B$4</f>
        <v/>
      </c>
      <c r="Z81" s="4">
        <f>IF(AND(W81&gt;0;X81&gt;0;Y81&gt;0);W81*X81*Y81/1000;"")</f>
        <v/>
      </c>
      <c r="AB81" s="2">
        <f>('_Настройки'!$B$6+MAX(0;Z81-1)*'_Настройки'!$B$7)*IF(AA81&gt;0;AA81;'_Настройки'!$B$10)</f>
        <v/>
      </c>
      <c r="AC81" s="2">
        <f>AB81*(1+'_Настройки'!$B$8)</f>
        <v/>
      </c>
      <c r="AD81" s="3">
        <f>'_Настройки'!$B$2</f>
        <v/>
      </c>
      <c r="AE81" s="2">
        <f>L81*AD81</f>
        <v/>
      </c>
      <c r="AF81" s="3">
        <f>'_Настройки'!$B$3</f>
        <v/>
      </c>
      <c r="AG81" s="3">
        <f>IFERROR(INDEX('_Комиссия_ВБ'!$B:$B;MATCH(C81;'_Комиссия_ВБ'!$A:$A;0));0,245)</f>
        <v/>
      </c>
      <c r="AH81" s="3">
        <f>AG81+AF81</f>
        <v/>
      </c>
      <c r="AI81" s="2">
        <f>L81*AH81</f>
        <v/>
      </c>
      <c r="AJ81" s="3">
        <f>IFERROR(INDEX('_Комиссия_ВБ'!$C:$C;MATCH(C81;'_Комиссия_ВБ'!$A:$A;0));0,28)</f>
        <v/>
      </c>
      <c r="AK81" s="3">
        <f>AJ81+AF81</f>
        <v/>
      </c>
      <c r="AL81" s="2">
        <f>L81*AK81</f>
        <v/>
      </c>
      <c r="AM81" s="2" t="n"/>
      <c r="AO81" s="3">
        <f>'_Настройки'!$B$5</f>
        <v/>
      </c>
      <c r="AP81" s="2">
        <f>IF(K81&gt;0;K81*AO81;0)</f>
        <v/>
      </c>
      <c r="AQ81" s="2">
        <f>L81-K81-AI81-AE81-IF(AM81&gt;0;AM81;'_Настройки'!$B$9)-AP81-AC81</f>
        <v/>
      </c>
      <c r="AR81" s="3">
        <f>IF(L81&gt;0;AQ81/L81;"")</f>
        <v/>
      </c>
      <c r="AS81" s="3">
        <f>IF(K81&gt;0;AQ81/K81;"")</f>
        <v/>
      </c>
      <c r="AT81" s="2">
        <f>L81-K81-AL81-AE81-IF(AM81&gt;0;AM81;'_Настройки'!$B$9)-AP81-AC81</f>
        <v/>
      </c>
      <c r="AU81" s="3">
        <f>IF(L81&gt;0;AT81/L81;"")</f>
        <v/>
      </c>
      <c r="AV81" s="3">
        <f>IF(K81&gt;0;AT81/K81;"")</f>
        <v/>
      </c>
    </row>
    <row r="82">
      <c r="A82">
        <f>ROW()-1</f>
        <v/>
      </c>
      <c r="K82" s="2">
        <f>IFERROR(INDEX('_Цены_закупки'!$B:$B;MATCH(C82;'_Цены_закупки'!$A:$A;0));"")</f>
        <v/>
      </c>
      <c r="L82" s="2" t="n"/>
      <c r="M82" s="2" t="n"/>
      <c r="N82" s="3">
        <f>IF(AND(M82&gt;0;L82&gt;0);1-L82/M82;"")</f>
        <v/>
      </c>
      <c r="O82" s="2">
        <f>IF(OR(Q82="";K82=0);"";(K82+IF(AM82&gt;0;AM82;'_Настройки'!$B$9)+AP82+AC82+Q82*K82)/(1-AH82-AD82))</f>
        <v/>
      </c>
      <c r="P82" s="2">
        <f>IF(O82="";"";O82-K82-O82*AH82-O82*AD82-IF(AM82&gt;0;AM82;'_Настройки'!$B$9)-AP82-AC82)</f>
        <v/>
      </c>
      <c r="Q82" s="3">
        <f>IF(AND(O82&gt;0;K82&gt;0);P82/K82;"")</f>
        <v/>
      </c>
      <c r="R82" s="2">
        <f>IF(O82="";"";O82-K82-O82*AK82-O82*AD82-IF(AM82&gt;0;AM82;'_Настройки'!$B$9)-AP82-AC82)</f>
        <v/>
      </c>
      <c r="S82" s="3">
        <f>IF(AND(O82&gt;0;K82&gt;0);R82/K82;"")</f>
        <v/>
      </c>
      <c r="T82" s="2" t="n"/>
      <c r="U82" s="3">
        <f>IF(AND(L82&gt;0;T82&gt;0);1-T82/L82;"")</f>
        <v/>
      </c>
      <c r="V82" s="3">
        <f>'_Настройки'!$B$4</f>
        <v/>
      </c>
      <c r="Z82" s="4">
        <f>IF(AND(W82&gt;0;X82&gt;0;Y82&gt;0);W82*X82*Y82/1000;"")</f>
        <v/>
      </c>
      <c r="AB82" s="2">
        <f>('_Настройки'!$B$6+MAX(0;Z82-1)*'_Настройки'!$B$7)*IF(AA82&gt;0;AA82;'_Настройки'!$B$10)</f>
        <v/>
      </c>
      <c r="AC82" s="2">
        <f>AB82*(1+'_Настройки'!$B$8)</f>
        <v/>
      </c>
      <c r="AD82" s="3">
        <f>'_Настройки'!$B$2</f>
        <v/>
      </c>
      <c r="AE82" s="2">
        <f>L82*AD82</f>
        <v/>
      </c>
      <c r="AF82" s="3">
        <f>'_Настройки'!$B$3</f>
        <v/>
      </c>
      <c r="AG82" s="3">
        <f>IFERROR(INDEX('_Комиссия_ВБ'!$B:$B;MATCH(C82;'_Комиссия_ВБ'!$A:$A;0));0,245)</f>
        <v/>
      </c>
      <c r="AH82" s="3">
        <f>AG82+AF82</f>
        <v/>
      </c>
      <c r="AI82" s="2">
        <f>L82*AH82</f>
        <v/>
      </c>
      <c r="AJ82" s="3">
        <f>IFERROR(INDEX('_Комиссия_ВБ'!$C:$C;MATCH(C82;'_Комиссия_ВБ'!$A:$A;0));0,28)</f>
        <v/>
      </c>
      <c r="AK82" s="3">
        <f>AJ82+AF82</f>
        <v/>
      </c>
      <c r="AL82" s="2">
        <f>L82*AK82</f>
        <v/>
      </c>
      <c r="AM82" s="2" t="n"/>
      <c r="AO82" s="3">
        <f>'_Настройки'!$B$5</f>
        <v/>
      </c>
      <c r="AP82" s="2">
        <f>IF(K82&gt;0;K82*AO82;0)</f>
        <v/>
      </c>
      <c r="AQ82" s="2">
        <f>L82-K82-AI82-AE82-IF(AM82&gt;0;AM82;'_Настройки'!$B$9)-AP82-AC82</f>
        <v/>
      </c>
      <c r="AR82" s="3">
        <f>IF(L82&gt;0;AQ82/L82;"")</f>
        <v/>
      </c>
      <c r="AS82" s="3">
        <f>IF(K82&gt;0;AQ82/K82;"")</f>
        <v/>
      </c>
      <c r="AT82" s="2">
        <f>L82-K82-AL82-AE82-IF(AM82&gt;0;AM82;'_Настройки'!$B$9)-AP82-AC82</f>
        <v/>
      </c>
      <c r="AU82" s="3">
        <f>IF(L82&gt;0;AT82/L82;"")</f>
        <v/>
      </c>
      <c r="AV82" s="3">
        <f>IF(K82&gt;0;AT82/K82;"")</f>
        <v/>
      </c>
    </row>
    <row r="83">
      <c r="A83">
        <f>ROW()-1</f>
        <v/>
      </c>
      <c r="K83" s="2">
        <f>IFERROR(INDEX('_Цены_закупки'!$B:$B;MATCH(C83;'_Цены_закупки'!$A:$A;0));"")</f>
        <v/>
      </c>
      <c r="L83" s="2" t="n"/>
      <c r="M83" s="2" t="n"/>
      <c r="N83" s="3">
        <f>IF(AND(M83&gt;0;L83&gt;0);1-L83/M83;"")</f>
        <v/>
      </c>
      <c r="O83" s="2">
        <f>IF(OR(Q83="";K83=0);"";(K83+IF(AM83&gt;0;AM83;'_Настройки'!$B$9)+AP83+AC83+Q83*K83)/(1-AH83-AD83))</f>
        <v/>
      </c>
      <c r="P83" s="2">
        <f>IF(O83="";"";O83-K83-O83*AH83-O83*AD83-IF(AM83&gt;0;AM83;'_Настройки'!$B$9)-AP83-AC83)</f>
        <v/>
      </c>
      <c r="Q83" s="3">
        <f>IF(AND(O83&gt;0;K83&gt;0);P83/K83;"")</f>
        <v/>
      </c>
      <c r="R83" s="2">
        <f>IF(O83="";"";O83-K83-O83*AK83-O83*AD83-IF(AM83&gt;0;AM83;'_Настройки'!$B$9)-AP83-AC83)</f>
        <v/>
      </c>
      <c r="S83" s="3">
        <f>IF(AND(O83&gt;0;K83&gt;0);R83/K83;"")</f>
        <v/>
      </c>
      <c r="T83" s="2" t="n"/>
      <c r="U83" s="3">
        <f>IF(AND(L83&gt;0;T83&gt;0);1-T83/L83;"")</f>
        <v/>
      </c>
      <c r="V83" s="3">
        <f>'_Настройки'!$B$4</f>
        <v/>
      </c>
      <c r="Z83" s="4">
        <f>IF(AND(W83&gt;0;X83&gt;0;Y83&gt;0);W83*X83*Y83/1000;"")</f>
        <v/>
      </c>
      <c r="AB83" s="2">
        <f>('_Настройки'!$B$6+MAX(0;Z83-1)*'_Настройки'!$B$7)*IF(AA83&gt;0;AA83;'_Настройки'!$B$10)</f>
        <v/>
      </c>
      <c r="AC83" s="2">
        <f>AB83*(1+'_Настройки'!$B$8)</f>
        <v/>
      </c>
      <c r="AD83" s="3">
        <f>'_Настройки'!$B$2</f>
        <v/>
      </c>
      <c r="AE83" s="2">
        <f>L83*AD83</f>
        <v/>
      </c>
      <c r="AF83" s="3">
        <f>'_Настройки'!$B$3</f>
        <v/>
      </c>
      <c r="AG83" s="3">
        <f>IFERROR(INDEX('_Комиссия_ВБ'!$B:$B;MATCH(C83;'_Комиссия_ВБ'!$A:$A;0));0,245)</f>
        <v/>
      </c>
      <c r="AH83" s="3">
        <f>AG83+AF83</f>
        <v/>
      </c>
      <c r="AI83" s="2">
        <f>L83*AH83</f>
        <v/>
      </c>
      <c r="AJ83" s="3">
        <f>IFERROR(INDEX('_Комиссия_ВБ'!$C:$C;MATCH(C83;'_Комиссия_ВБ'!$A:$A;0));0,28)</f>
        <v/>
      </c>
      <c r="AK83" s="3">
        <f>AJ83+AF83</f>
        <v/>
      </c>
      <c r="AL83" s="2">
        <f>L83*AK83</f>
        <v/>
      </c>
      <c r="AM83" s="2" t="n"/>
      <c r="AO83" s="3">
        <f>'_Настройки'!$B$5</f>
        <v/>
      </c>
      <c r="AP83" s="2">
        <f>IF(K83&gt;0;K83*AO83;0)</f>
        <v/>
      </c>
      <c r="AQ83" s="2">
        <f>L83-K83-AI83-AE83-IF(AM83&gt;0;AM83;'_Настройки'!$B$9)-AP83-AC83</f>
        <v/>
      </c>
      <c r="AR83" s="3">
        <f>IF(L83&gt;0;AQ83/L83;"")</f>
        <v/>
      </c>
      <c r="AS83" s="3">
        <f>IF(K83&gt;0;AQ83/K83;"")</f>
        <v/>
      </c>
      <c r="AT83" s="2">
        <f>L83-K83-AL83-AE83-IF(AM83&gt;0;AM83;'_Настройки'!$B$9)-AP83-AC83</f>
        <v/>
      </c>
      <c r="AU83" s="3">
        <f>IF(L83&gt;0;AT83/L83;"")</f>
        <v/>
      </c>
      <c r="AV83" s="3">
        <f>IF(K83&gt;0;AT83/K83;"")</f>
        <v/>
      </c>
    </row>
    <row r="84">
      <c r="A84">
        <f>ROW()-1</f>
        <v/>
      </c>
      <c r="K84" s="2">
        <f>IFERROR(INDEX('_Цены_закупки'!$B:$B;MATCH(C84;'_Цены_закупки'!$A:$A;0));"")</f>
        <v/>
      </c>
      <c r="L84" s="2" t="n"/>
      <c r="M84" s="2" t="n"/>
      <c r="N84" s="3">
        <f>IF(AND(M84&gt;0;L84&gt;0);1-L84/M84;"")</f>
        <v/>
      </c>
      <c r="O84" s="2">
        <f>IF(OR(Q84="";K84=0);"";(K84+IF(AM84&gt;0;AM84;'_Настройки'!$B$9)+AP84+AC84+Q84*K84)/(1-AH84-AD84))</f>
        <v/>
      </c>
      <c r="P84" s="2">
        <f>IF(O84="";"";O84-K84-O84*AH84-O84*AD84-IF(AM84&gt;0;AM84;'_Настройки'!$B$9)-AP84-AC84)</f>
        <v/>
      </c>
      <c r="Q84" s="3">
        <f>IF(AND(O84&gt;0;K84&gt;0);P84/K84;"")</f>
        <v/>
      </c>
      <c r="R84" s="2">
        <f>IF(O84="";"";O84-K84-O84*AK84-O84*AD84-IF(AM84&gt;0;AM84;'_Настройки'!$B$9)-AP84-AC84)</f>
        <v/>
      </c>
      <c r="S84" s="3">
        <f>IF(AND(O84&gt;0;K84&gt;0);R84/K84;"")</f>
        <v/>
      </c>
      <c r="T84" s="2" t="n"/>
      <c r="U84" s="3">
        <f>IF(AND(L84&gt;0;T84&gt;0);1-T84/L84;"")</f>
        <v/>
      </c>
      <c r="V84" s="3">
        <f>'_Настройки'!$B$4</f>
        <v/>
      </c>
      <c r="Z84" s="4">
        <f>IF(AND(W84&gt;0;X84&gt;0;Y84&gt;0);W84*X84*Y84/1000;"")</f>
        <v/>
      </c>
      <c r="AB84" s="2">
        <f>('_Настройки'!$B$6+MAX(0;Z84-1)*'_Настройки'!$B$7)*IF(AA84&gt;0;AA84;'_Настройки'!$B$10)</f>
        <v/>
      </c>
      <c r="AC84" s="2">
        <f>AB84*(1+'_Настройки'!$B$8)</f>
        <v/>
      </c>
      <c r="AD84" s="3">
        <f>'_Настройки'!$B$2</f>
        <v/>
      </c>
      <c r="AE84" s="2">
        <f>L84*AD84</f>
        <v/>
      </c>
      <c r="AF84" s="3">
        <f>'_Настройки'!$B$3</f>
        <v/>
      </c>
      <c r="AG84" s="3">
        <f>IFERROR(INDEX('_Комиссия_ВБ'!$B:$B;MATCH(C84;'_Комиссия_ВБ'!$A:$A;0));0,245)</f>
        <v/>
      </c>
      <c r="AH84" s="3">
        <f>AG84+AF84</f>
        <v/>
      </c>
      <c r="AI84" s="2">
        <f>L84*AH84</f>
        <v/>
      </c>
      <c r="AJ84" s="3">
        <f>IFERROR(INDEX('_Комиссия_ВБ'!$C:$C;MATCH(C84;'_Комиссия_ВБ'!$A:$A;0));0,28)</f>
        <v/>
      </c>
      <c r="AK84" s="3">
        <f>AJ84+AF84</f>
        <v/>
      </c>
      <c r="AL84" s="2">
        <f>L84*AK84</f>
        <v/>
      </c>
      <c r="AM84" s="2" t="n"/>
      <c r="AO84" s="3">
        <f>'_Настройки'!$B$5</f>
        <v/>
      </c>
      <c r="AP84" s="2">
        <f>IF(K84&gt;0;K84*AO84;0)</f>
        <v/>
      </c>
      <c r="AQ84" s="2">
        <f>L84-K84-AI84-AE84-IF(AM84&gt;0;AM84;'_Настройки'!$B$9)-AP84-AC84</f>
        <v/>
      </c>
      <c r="AR84" s="3">
        <f>IF(L84&gt;0;AQ84/L84;"")</f>
        <v/>
      </c>
      <c r="AS84" s="3">
        <f>IF(K84&gt;0;AQ84/K84;"")</f>
        <v/>
      </c>
      <c r="AT84" s="2">
        <f>L84-K84-AL84-AE84-IF(AM84&gt;0;AM84;'_Настройки'!$B$9)-AP84-AC84</f>
        <v/>
      </c>
      <c r="AU84" s="3">
        <f>IF(L84&gt;0;AT84/L84;"")</f>
        <v/>
      </c>
      <c r="AV84" s="3">
        <f>IF(K84&gt;0;AT84/K84;"")</f>
        <v/>
      </c>
    </row>
    <row r="85">
      <c r="A85">
        <f>ROW()-1</f>
        <v/>
      </c>
      <c r="K85" s="2">
        <f>IFERROR(INDEX('_Цены_закупки'!$B:$B;MATCH(C85;'_Цены_закупки'!$A:$A;0));"")</f>
        <v/>
      </c>
      <c r="L85" s="2" t="n"/>
      <c r="M85" s="2" t="n"/>
      <c r="N85" s="3">
        <f>IF(AND(M85&gt;0;L85&gt;0);1-L85/M85;"")</f>
        <v/>
      </c>
      <c r="O85" s="2">
        <f>IF(OR(Q85="";K85=0);"";(K85+IF(AM85&gt;0;AM85;'_Настройки'!$B$9)+AP85+AC85+Q85*K85)/(1-AH85-AD85))</f>
        <v/>
      </c>
      <c r="P85" s="2">
        <f>IF(O85="";"";O85-K85-O85*AH85-O85*AD85-IF(AM85&gt;0;AM85;'_Настройки'!$B$9)-AP85-AC85)</f>
        <v/>
      </c>
      <c r="Q85" s="3">
        <f>IF(AND(O85&gt;0;K85&gt;0);P85/K85;"")</f>
        <v/>
      </c>
      <c r="R85" s="2">
        <f>IF(O85="";"";O85-K85-O85*AK85-O85*AD85-IF(AM85&gt;0;AM85;'_Настройки'!$B$9)-AP85-AC85)</f>
        <v/>
      </c>
      <c r="S85" s="3">
        <f>IF(AND(O85&gt;0;K85&gt;0);R85/K85;"")</f>
        <v/>
      </c>
      <c r="T85" s="2" t="n"/>
      <c r="U85" s="3">
        <f>IF(AND(L85&gt;0;T85&gt;0);1-T85/L85;"")</f>
        <v/>
      </c>
      <c r="V85" s="3">
        <f>'_Настройки'!$B$4</f>
        <v/>
      </c>
      <c r="Z85" s="4">
        <f>IF(AND(W85&gt;0;X85&gt;0;Y85&gt;0);W85*X85*Y85/1000;"")</f>
        <v/>
      </c>
      <c r="AB85" s="2">
        <f>('_Настройки'!$B$6+MAX(0;Z85-1)*'_Настройки'!$B$7)*IF(AA85&gt;0;AA85;'_Настройки'!$B$10)</f>
        <v/>
      </c>
      <c r="AC85" s="2">
        <f>AB85*(1+'_Настройки'!$B$8)</f>
        <v/>
      </c>
      <c r="AD85" s="3">
        <f>'_Настройки'!$B$2</f>
        <v/>
      </c>
      <c r="AE85" s="2">
        <f>L85*AD85</f>
        <v/>
      </c>
      <c r="AF85" s="3">
        <f>'_Настройки'!$B$3</f>
        <v/>
      </c>
      <c r="AG85" s="3">
        <f>IFERROR(INDEX('_Комиссия_ВБ'!$B:$B;MATCH(C85;'_Комиссия_ВБ'!$A:$A;0));0,245)</f>
        <v/>
      </c>
      <c r="AH85" s="3">
        <f>AG85+AF85</f>
        <v/>
      </c>
      <c r="AI85" s="2">
        <f>L85*AH85</f>
        <v/>
      </c>
      <c r="AJ85" s="3">
        <f>IFERROR(INDEX('_Комиссия_ВБ'!$C:$C;MATCH(C85;'_Комиссия_ВБ'!$A:$A;0));0,28)</f>
        <v/>
      </c>
      <c r="AK85" s="3">
        <f>AJ85+AF85</f>
        <v/>
      </c>
      <c r="AL85" s="2">
        <f>L85*AK85</f>
        <v/>
      </c>
      <c r="AM85" s="2" t="n"/>
      <c r="AO85" s="3">
        <f>'_Настройки'!$B$5</f>
        <v/>
      </c>
      <c r="AP85" s="2">
        <f>IF(K85&gt;0;K85*AO85;0)</f>
        <v/>
      </c>
      <c r="AQ85" s="2">
        <f>L85-K85-AI85-AE85-IF(AM85&gt;0;AM85;'_Настройки'!$B$9)-AP85-AC85</f>
        <v/>
      </c>
      <c r="AR85" s="3">
        <f>IF(L85&gt;0;AQ85/L85;"")</f>
        <v/>
      </c>
      <c r="AS85" s="3">
        <f>IF(K85&gt;0;AQ85/K85;"")</f>
        <v/>
      </c>
      <c r="AT85" s="2">
        <f>L85-K85-AL85-AE85-IF(AM85&gt;0;AM85;'_Настройки'!$B$9)-AP85-AC85</f>
        <v/>
      </c>
      <c r="AU85" s="3">
        <f>IF(L85&gt;0;AT85/L85;"")</f>
        <v/>
      </c>
      <c r="AV85" s="3">
        <f>IF(K85&gt;0;AT85/K85;"")</f>
        <v/>
      </c>
    </row>
    <row r="86">
      <c r="A86">
        <f>ROW()-1</f>
        <v/>
      </c>
      <c r="K86" s="2">
        <f>IFERROR(INDEX('_Цены_закупки'!$B:$B;MATCH(C86;'_Цены_закупки'!$A:$A;0));"")</f>
        <v/>
      </c>
      <c r="L86" s="2" t="n"/>
      <c r="M86" s="2" t="n"/>
      <c r="N86" s="3">
        <f>IF(AND(M86&gt;0;L86&gt;0);1-L86/M86;"")</f>
        <v/>
      </c>
      <c r="O86" s="2">
        <f>IF(OR(Q86="";K86=0);"";(K86+IF(AM86&gt;0;AM86;'_Настройки'!$B$9)+AP86+AC86+Q86*K86)/(1-AH86-AD86))</f>
        <v/>
      </c>
      <c r="P86" s="2">
        <f>IF(O86="";"";O86-K86-O86*AH86-O86*AD86-IF(AM86&gt;0;AM86;'_Настройки'!$B$9)-AP86-AC86)</f>
        <v/>
      </c>
      <c r="Q86" s="3">
        <f>IF(AND(O86&gt;0;K86&gt;0);P86/K86;"")</f>
        <v/>
      </c>
      <c r="R86" s="2">
        <f>IF(O86="";"";O86-K86-O86*AK86-O86*AD86-IF(AM86&gt;0;AM86;'_Настройки'!$B$9)-AP86-AC86)</f>
        <v/>
      </c>
      <c r="S86" s="3">
        <f>IF(AND(O86&gt;0;K86&gt;0);R86/K86;"")</f>
        <v/>
      </c>
      <c r="T86" s="2" t="n"/>
      <c r="U86" s="3">
        <f>IF(AND(L86&gt;0;T86&gt;0);1-T86/L86;"")</f>
        <v/>
      </c>
      <c r="V86" s="3">
        <f>'_Настройки'!$B$4</f>
        <v/>
      </c>
      <c r="Z86" s="4">
        <f>IF(AND(W86&gt;0;X86&gt;0;Y86&gt;0);W86*X86*Y86/1000;"")</f>
        <v/>
      </c>
      <c r="AB86" s="2">
        <f>('_Настройки'!$B$6+MAX(0;Z86-1)*'_Настройки'!$B$7)*IF(AA86&gt;0;AA86;'_Настройки'!$B$10)</f>
        <v/>
      </c>
      <c r="AC86" s="2">
        <f>AB86*(1+'_Настройки'!$B$8)</f>
        <v/>
      </c>
      <c r="AD86" s="3">
        <f>'_Настройки'!$B$2</f>
        <v/>
      </c>
      <c r="AE86" s="2">
        <f>L86*AD86</f>
        <v/>
      </c>
      <c r="AF86" s="3">
        <f>'_Настройки'!$B$3</f>
        <v/>
      </c>
      <c r="AG86" s="3">
        <f>IFERROR(INDEX('_Комиссия_ВБ'!$B:$B;MATCH(C86;'_Комиссия_ВБ'!$A:$A;0));0,245)</f>
        <v/>
      </c>
      <c r="AH86" s="3">
        <f>AG86+AF86</f>
        <v/>
      </c>
      <c r="AI86" s="2">
        <f>L86*AH86</f>
        <v/>
      </c>
      <c r="AJ86" s="3">
        <f>IFERROR(INDEX('_Комиссия_ВБ'!$C:$C;MATCH(C86;'_Комиссия_ВБ'!$A:$A;0));0,28)</f>
        <v/>
      </c>
      <c r="AK86" s="3">
        <f>AJ86+AF86</f>
        <v/>
      </c>
      <c r="AL86" s="2">
        <f>L86*AK86</f>
        <v/>
      </c>
      <c r="AM86" s="2" t="n"/>
      <c r="AO86" s="3">
        <f>'_Настройки'!$B$5</f>
        <v/>
      </c>
      <c r="AP86" s="2">
        <f>IF(K86&gt;0;K86*AO86;0)</f>
        <v/>
      </c>
      <c r="AQ86" s="2">
        <f>L86-K86-AI86-AE86-IF(AM86&gt;0;AM86;'_Настройки'!$B$9)-AP86-AC86</f>
        <v/>
      </c>
      <c r="AR86" s="3">
        <f>IF(L86&gt;0;AQ86/L86;"")</f>
        <v/>
      </c>
      <c r="AS86" s="3">
        <f>IF(K86&gt;0;AQ86/K86;"")</f>
        <v/>
      </c>
      <c r="AT86" s="2">
        <f>L86-K86-AL86-AE86-IF(AM86&gt;0;AM86;'_Настройки'!$B$9)-AP86-AC86</f>
        <v/>
      </c>
      <c r="AU86" s="3">
        <f>IF(L86&gt;0;AT86/L86;"")</f>
        <v/>
      </c>
      <c r="AV86" s="3">
        <f>IF(K86&gt;0;AT86/K86;"")</f>
        <v/>
      </c>
    </row>
    <row r="87">
      <c r="A87">
        <f>ROW()-1</f>
        <v/>
      </c>
      <c r="K87" s="2">
        <f>IFERROR(INDEX('_Цены_закупки'!$B:$B;MATCH(C87;'_Цены_закупки'!$A:$A;0));"")</f>
        <v/>
      </c>
      <c r="L87" s="2" t="n"/>
      <c r="M87" s="2" t="n"/>
      <c r="N87" s="3">
        <f>IF(AND(M87&gt;0;L87&gt;0);1-L87/M87;"")</f>
        <v/>
      </c>
      <c r="O87" s="2">
        <f>IF(OR(Q87="";K87=0);"";(K87+IF(AM87&gt;0;AM87;'_Настройки'!$B$9)+AP87+AC87+Q87*K87)/(1-AH87-AD87))</f>
        <v/>
      </c>
      <c r="P87" s="2">
        <f>IF(O87="";"";O87-K87-O87*AH87-O87*AD87-IF(AM87&gt;0;AM87;'_Настройки'!$B$9)-AP87-AC87)</f>
        <v/>
      </c>
      <c r="Q87" s="3">
        <f>IF(AND(O87&gt;0;K87&gt;0);P87/K87;"")</f>
        <v/>
      </c>
      <c r="R87" s="2">
        <f>IF(O87="";"";O87-K87-O87*AK87-O87*AD87-IF(AM87&gt;0;AM87;'_Настройки'!$B$9)-AP87-AC87)</f>
        <v/>
      </c>
      <c r="S87" s="3">
        <f>IF(AND(O87&gt;0;K87&gt;0);R87/K87;"")</f>
        <v/>
      </c>
      <c r="T87" s="2" t="n"/>
      <c r="U87" s="3">
        <f>IF(AND(L87&gt;0;T87&gt;0);1-T87/L87;"")</f>
        <v/>
      </c>
      <c r="V87" s="3">
        <f>'_Настройки'!$B$4</f>
        <v/>
      </c>
      <c r="Z87" s="4">
        <f>IF(AND(W87&gt;0;X87&gt;0;Y87&gt;0);W87*X87*Y87/1000;"")</f>
        <v/>
      </c>
      <c r="AB87" s="2">
        <f>('_Настройки'!$B$6+MAX(0;Z87-1)*'_Настройки'!$B$7)*IF(AA87&gt;0;AA87;'_Настройки'!$B$10)</f>
        <v/>
      </c>
      <c r="AC87" s="2">
        <f>AB87*(1+'_Настройки'!$B$8)</f>
        <v/>
      </c>
      <c r="AD87" s="3">
        <f>'_Настройки'!$B$2</f>
        <v/>
      </c>
      <c r="AE87" s="2">
        <f>L87*AD87</f>
        <v/>
      </c>
      <c r="AF87" s="3">
        <f>'_Настройки'!$B$3</f>
        <v/>
      </c>
      <c r="AG87" s="3">
        <f>IFERROR(INDEX('_Комиссия_ВБ'!$B:$B;MATCH(C87;'_Комиссия_ВБ'!$A:$A;0));0,245)</f>
        <v/>
      </c>
      <c r="AH87" s="3">
        <f>AG87+AF87</f>
        <v/>
      </c>
      <c r="AI87" s="2">
        <f>L87*AH87</f>
        <v/>
      </c>
      <c r="AJ87" s="3">
        <f>IFERROR(INDEX('_Комиссия_ВБ'!$C:$C;MATCH(C87;'_Комиссия_ВБ'!$A:$A;0));0,28)</f>
        <v/>
      </c>
      <c r="AK87" s="3">
        <f>AJ87+AF87</f>
        <v/>
      </c>
      <c r="AL87" s="2">
        <f>L87*AK87</f>
        <v/>
      </c>
      <c r="AM87" s="2" t="n"/>
      <c r="AO87" s="3">
        <f>'_Настройки'!$B$5</f>
        <v/>
      </c>
      <c r="AP87" s="2">
        <f>IF(K87&gt;0;K87*AO87;0)</f>
        <v/>
      </c>
      <c r="AQ87" s="2">
        <f>L87-K87-AI87-AE87-IF(AM87&gt;0;AM87;'_Настройки'!$B$9)-AP87-AC87</f>
        <v/>
      </c>
      <c r="AR87" s="3">
        <f>IF(L87&gt;0;AQ87/L87;"")</f>
        <v/>
      </c>
      <c r="AS87" s="3">
        <f>IF(K87&gt;0;AQ87/K87;"")</f>
        <v/>
      </c>
      <c r="AT87" s="2">
        <f>L87-K87-AL87-AE87-IF(AM87&gt;0;AM87;'_Настройки'!$B$9)-AP87-AC87</f>
        <v/>
      </c>
      <c r="AU87" s="3">
        <f>IF(L87&gt;0;AT87/L87;"")</f>
        <v/>
      </c>
      <c r="AV87" s="3">
        <f>IF(K87&gt;0;AT87/K87;"")</f>
        <v/>
      </c>
    </row>
    <row r="88">
      <c r="A88">
        <f>ROW()-1</f>
        <v/>
      </c>
      <c r="K88" s="2">
        <f>IFERROR(INDEX('_Цены_закупки'!$B:$B;MATCH(C88;'_Цены_закупки'!$A:$A;0));"")</f>
        <v/>
      </c>
      <c r="L88" s="2" t="n"/>
      <c r="M88" s="2" t="n"/>
      <c r="N88" s="3">
        <f>IF(AND(M88&gt;0;L88&gt;0);1-L88/M88;"")</f>
        <v/>
      </c>
      <c r="O88" s="2">
        <f>IF(OR(Q88="";K88=0);"";(K88+IF(AM88&gt;0;AM88;'_Настройки'!$B$9)+AP88+AC88+Q88*K88)/(1-AH88-AD88))</f>
        <v/>
      </c>
      <c r="P88" s="2">
        <f>IF(O88="";"";O88-K88-O88*AH88-O88*AD88-IF(AM88&gt;0;AM88;'_Настройки'!$B$9)-AP88-AC88)</f>
        <v/>
      </c>
      <c r="Q88" s="3">
        <f>IF(AND(O88&gt;0;K88&gt;0);P88/K88;"")</f>
        <v/>
      </c>
      <c r="R88" s="2">
        <f>IF(O88="";"";O88-K88-O88*AK88-O88*AD88-IF(AM88&gt;0;AM88;'_Настройки'!$B$9)-AP88-AC88)</f>
        <v/>
      </c>
      <c r="S88" s="3">
        <f>IF(AND(O88&gt;0;K88&gt;0);R88/K88;"")</f>
        <v/>
      </c>
      <c r="T88" s="2" t="n"/>
      <c r="U88" s="3">
        <f>IF(AND(L88&gt;0;T88&gt;0);1-T88/L88;"")</f>
        <v/>
      </c>
      <c r="V88" s="3">
        <f>'_Настройки'!$B$4</f>
        <v/>
      </c>
      <c r="Z88" s="4">
        <f>IF(AND(W88&gt;0;X88&gt;0;Y88&gt;0);W88*X88*Y88/1000;"")</f>
        <v/>
      </c>
      <c r="AB88" s="2">
        <f>('_Настройки'!$B$6+MAX(0;Z88-1)*'_Настройки'!$B$7)*IF(AA88&gt;0;AA88;'_Настройки'!$B$10)</f>
        <v/>
      </c>
      <c r="AC88" s="2">
        <f>AB88*(1+'_Настройки'!$B$8)</f>
        <v/>
      </c>
      <c r="AD88" s="3">
        <f>'_Настройки'!$B$2</f>
        <v/>
      </c>
      <c r="AE88" s="2">
        <f>L88*AD88</f>
        <v/>
      </c>
      <c r="AF88" s="3">
        <f>'_Настройки'!$B$3</f>
        <v/>
      </c>
      <c r="AG88" s="3">
        <f>IFERROR(INDEX('_Комиссия_ВБ'!$B:$B;MATCH(C88;'_Комиссия_ВБ'!$A:$A;0));0,245)</f>
        <v/>
      </c>
      <c r="AH88" s="3">
        <f>AG88+AF88</f>
        <v/>
      </c>
      <c r="AI88" s="2">
        <f>L88*AH88</f>
        <v/>
      </c>
      <c r="AJ88" s="3">
        <f>IFERROR(INDEX('_Комиссия_ВБ'!$C:$C;MATCH(C88;'_Комиссия_ВБ'!$A:$A;0));0,28)</f>
        <v/>
      </c>
      <c r="AK88" s="3">
        <f>AJ88+AF88</f>
        <v/>
      </c>
      <c r="AL88" s="2">
        <f>L88*AK88</f>
        <v/>
      </c>
      <c r="AM88" s="2" t="n"/>
      <c r="AO88" s="3">
        <f>'_Настройки'!$B$5</f>
        <v/>
      </c>
      <c r="AP88" s="2">
        <f>IF(K88&gt;0;K88*AO88;0)</f>
        <v/>
      </c>
      <c r="AQ88" s="2">
        <f>L88-K88-AI88-AE88-IF(AM88&gt;0;AM88;'_Настройки'!$B$9)-AP88-AC88</f>
        <v/>
      </c>
      <c r="AR88" s="3">
        <f>IF(L88&gt;0;AQ88/L88;"")</f>
        <v/>
      </c>
      <c r="AS88" s="3">
        <f>IF(K88&gt;0;AQ88/K88;"")</f>
        <v/>
      </c>
      <c r="AT88" s="2">
        <f>L88-K88-AL88-AE88-IF(AM88&gt;0;AM88;'_Настройки'!$B$9)-AP88-AC88</f>
        <v/>
      </c>
      <c r="AU88" s="3">
        <f>IF(L88&gt;0;AT88/L88;"")</f>
        <v/>
      </c>
      <c r="AV88" s="3">
        <f>IF(K88&gt;0;AT88/K88;"")</f>
        <v/>
      </c>
    </row>
    <row r="89">
      <c r="A89">
        <f>ROW()-1</f>
        <v/>
      </c>
      <c r="K89" s="2">
        <f>IFERROR(INDEX('_Цены_закупки'!$B:$B;MATCH(C89;'_Цены_закупки'!$A:$A;0));"")</f>
        <v/>
      </c>
      <c r="L89" s="2" t="n"/>
      <c r="M89" s="2" t="n"/>
      <c r="N89" s="3">
        <f>IF(AND(M89&gt;0;L89&gt;0);1-L89/M89;"")</f>
        <v/>
      </c>
      <c r="O89" s="2">
        <f>IF(OR(Q89="";K89=0);"";(K89+IF(AM89&gt;0;AM89;'_Настройки'!$B$9)+AP89+AC89+Q89*K89)/(1-AH89-AD89))</f>
        <v/>
      </c>
      <c r="P89" s="2">
        <f>IF(O89="";"";O89-K89-O89*AH89-O89*AD89-IF(AM89&gt;0;AM89;'_Настройки'!$B$9)-AP89-AC89)</f>
        <v/>
      </c>
      <c r="Q89" s="3">
        <f>IF(AND(O89&gt;0;K89&gt;0);P89/K89;"")</f>
        <v/>
      </c>
      <c r="R89" s="2">
        <f>IF(O89="";"";O89-K89-O89*AK89-O89*AD89-IF(AM89&gt;0;AM89;'_Настройки'!$B$9)-AP89-AC89)</f>
        <v/>
      </c>
      <c r="S89" s="3">
        <f>IF(AND(O89&gt;0;K89&gt;0);R89/K89;"")</f>
        <v/>
      </c>
      <c r="T89" s="2" t="n"/>
      <c r="U89" s="3">
        <f>IF(AND(L89&gt;0;T89&gt;0);1-T89/L89;"")</f>
        <v/>
      </c>
      <c r="V89" s="3">
        <f>'_Настройки'!$B$4</f>
        <v/>
      </c>
      <c r="Z89" s="4">
        <f>IF(AND(W89&gt;0;X89&gt;0;Y89&gt;0);W89*X89*Y89/1000;"")</f>
        <v/>
      </c>
      <c r="AB89" s="2">
        <f>('_Настройки'!$B$6+MAX(0;Z89-1)*'_Настройки'!$B$7)*IF(AA89&gt;0;AA89;'_Настройки'!$B$10)</f>
        <v/>
      </c>
      <c r="AC89" s="2">
        <f>AB89*(1+'_Настройки'!$B$8)</f>
        <v/>
      </c>
      <c r="AD89" s="3">
        <f>'_Настройки'!$B$2</f>
        <v/>
      </c>
      <c r="AE89" s="2">
        <f>L89*AD89</f>
        <v/>
      </c>
      <c r="AF89" s="3">
        <f>'_Настройки'!$B$3</f>
        <v/>
      </c>
      <c r="AG89" s="3">
        <f>IFERROR(INDEX('_Комиссия_ВБ'!$B:$B;MATCH(C89;'_Комиссия_ВБ'!$A:$A;0));0,245)</f>
        <v/>
      </c>
      <c r="AH89" s="3">
        <f>AG89+AF89</f>
        <v/>
      </c>
      <c r="AI89" s="2">
        <f>L89*AH89</f>
        <v/>
      </c>
      <c r="AJ89" s="3">
        <f>IFERROR(INDEX('_Комиссия_ВБ'!$C:$C;MATCH(C89;'_Комиссия_ВБ'!$A:$A;0));0,28)</f>
        <v/>
      </c>
      <c r="AK89" s="3">
        <f>AJ89+AF89</f>
        <v/>
      </c>
      <c r="AL89" s="2">
        <f>L89*AK89</f>
        <v/>
      </c>
      <c r="AM89" s="2" t="n"/>
      <c r="AO89" s="3">
        <f>'_Настройки'!$B$5</f>
        <v/>
      </c>
      <c r="AP89" s="2">
        <f>IF(K89&gt;0;K89*AO89;0)</f>
        <v/>
      </c>
      <c r="AQ89" s="2">
        <f>L89-K89-AI89-AE89-IF(AM89&gt;0;AM89;'_Настройки'!$B$9)-AP89-AC89</f>
        <v/>
      </c>
      <c r="AR89" s="3">
        <f>IF(L89&gt;0;AQ89/L89;"")</f>
        <v/>
      </c>
      <c r="AS89" s="3">
        <f>IF(K89&gt;0;AQ89/K89;"")</f>
        <v/>
      </c>
      <c r="AT89" s="2">
        <f>L89-K89-AL89-AE89-IF(AM89&gt;0;AM89;'_Настройки'!$B$9)-AP89-AC89</f>
        <v/>
      </c>
      <c r="AU89" s="3">
        <f>IF(L89&gt;0;AT89/L89;"")</f>
        <v/>
      </c>
      <c r="AV89" s="3">
        <f>IF(K89&gt;0;AT89/K89;"")</f>
        <v/>
      </c>
    </row>
    <row r="90">
      <c r="A90">
        <f>ROW()-1</f>
        <v/>
      </c>
      <c r="K90" s="2">
        <f>IFERROR(INDEX('_Цены_закупки'!$B:$B;MATCH(C90;'_Цены_закупки'!$A:$A;0));"")</f>
        <v/>
      </c>
      <c r="L90" s="2" t="n"/>
      <c r="M90" s="2" t="n"/>
      <c r="N90" s="3">
        <f>IF(AND(M90&gt;0;L90&gt;0);1-L90/M90;"")</f>
        <v/>
      </c>
      <c r="O90" s="2">
        <f>IF(OR(Q90="";K90=0);"";(K90+IF(AM90&gt;0;AM90;'_Настройки'!$B$9)+AP90+AC90+Q90*K90)/(1-AH90-AD90))</f>
        <v/>
      </c>
      <c r="P90" s="2">
        <f>IF(O90="";"";O90-K90-O90*AH90-O90*AD90-IF(AM90&gt;0;AM90;'_Настройки'!$B$9)-AP90-AC90)</f>
        <v/>
      </c>
      <c r="Q90" s="3">
        <f>IF(AND(O90&gt;0;K90&gt;0);P90/K90;"")</f>
        <v/>
      </c>
      <c r="R90" s="2">
        <f>IF(O90="";"";O90-K90-O90*AK90-O90*AD90-IF(AM90&gt;0;AM90;'_Настройки'!$B$9)-AP90-AC90)</f>
        <v/>
      </c>
      <c r="S90" s="3">
        <f>IF(AND(O90&gt;0;K90&gt;0);R90/K90;"")</f>
        <v/>
      </c>
      <c r="T90" s="2" t="n"/>
      <c r="U90" s="3">
        <f>IF(AND(L90&gt;0;T90&gt;0);1-T90/L90;"")</f>
        <v/>
      </c>
      <c r="V90" s="3">
        <f>'_Настройки'!$B$4</f>
        <v/>
      </c>
      <c r="Z90" s="4">
        <f>IF(AND(W90&gt;0;X90&gt;0;Y90&gt;0);W90*X90*Y90/1000;"")</f>
        <v/>
      </c>
      <c r="AB90" s="2">
        <f>('_Настройки'!$B$6+MAX(0;Z90-1)*'_Настройки'!$B$7)*IF(AA90&gt;0;AA90;'_Настройки'!$B$10)</f>
        <v/>
      </c>
      <c r="AC90" s="2">
        <f>AB90*(1+'_Настройки'!$B$8)</f>
        <v/>
      </c>
      <c r="AD90" s="3">
        <f>'_Настройки'!$B$2</f>
        <v/>
      </c>
      <c r="AE90" s="2">
        <f>L90*AD90</f>
        <v/>
      </c>
      <c r="AF90" s="3">
        <f>'_Настройки'!$B$3</f>
        <v/>
      </c>
      <c r="AG90" s="3">
        <f>IFERROR(INDEX('_Комиссия_ВБ'!$B:$B;MATCH(C90;'_Комиссия_ВБ'!$A:$A;0));0,245)</f>
        <v/>
      </c>
      <c r="AH90" s="3">
        <f>AG90+AF90</f>
        <v/>
      </c>
      <c r="AI90" s="2">
        <f>L90*AH90</f>
        <v/>
      </c>
      <c r="AJ90" s="3">
        <f>IFERROR(INDEX('_Комиссия_ВБ'!$C:$C;MATCH(C90;'_Комиссия_ВБ'!$A:$A;0));0,28)</f>
        <v/>
      </c>
      <c r="AK90" s="3">
        <f>AJ90+AF90</f>
        <v/>
      </c>
      <c r="AL90" s="2">
        <f>L90*AK90</f>
        <v/>
      </c>
      <c r="AM90" s="2" t="n"/>
      <c r="AO90" s="3">
        <f>'_Настройки'!$B$5</f>
        <v/>
      </c>
      <c r="AP90" s="2">
        <f>IF(K90&gt;0;K90*AO90;0)</f>
        <v/>
      </c>
      <c r="AQ90" s="2">
        <f>L90-K90-AI90-AE90-IF(AM90&gt;0;AM90;'_Настройки'!$B$9)-AP90-AC90</f>
        <v/>
      </c>
      <c r="AR90" s="3">
        <f>IF(L90&gt;0;AQ90/L90;"")</f>
        <v/>
      </c>
      <c r="AS90" s="3">
        <f>IF(K90&gt;0;AQ90/K90;"")</f>
        <v/>
      </c>
      <c r="AT90" s="2">
        <f>L90-K90-AL90-AE90-IF(AM90&gt;0;AM90;'_Настройки'!$B$9)-AP90-AC90</f>
        <v/>
      </c>
      <c r="AU90" s="3">
        <f>IF(L90&gt;0;AT90/L90;"")</f>
        <v/>
      </c>
      <c r="AV90" s="3">
        <f>IF(K90&gt;0;AT90/K90;"")</f>
        <v/>
      </c>
    </row>
    <row r="91">
      <c r="A91">
        <f>ROW()-1</f>
        <v/>
      </c>
      <c r="K91" s="2">
        <f>IFERROR(INDEX('_Цены_закупки'!$B:$B;MATCH(C91;'_Цены_закупки'!$A:$A;0));"")</f>
        <v/>
      </c>
      <c r="L91" s="2" t="n"/>
      <c r="M91" s="2" t="n"/>
      <c r="N91" s="3">
        <f>IF(AND(M91&gt;0;L91&gt;0);1-L91/M91;"")</f>
        <v/>
      </c>
      <c r="O91" s="2">
        <f>IF(OR(Q91="";K91=0);"";(K91+IF(AM91&gt;0;AM91;'_Настройки'!$B$9)+AP91+AC91+Q91*K91)/(1-AH91-AD91))</f>
        <v/>
      </c>
      <c r="P91" s="2">
        <f>IF(O91="";"";O91-K91-O91*AH91-O91*AD91-IF(AM91&gt;0;AM91;'_Настройки'!$B$9)-AP91-AC91)</f>
        <v/>
      </c>
      <c r="Q91" s="3">
        <f>IF(AND(O91&gt;0;K91&gt;0);P91/K91;"")</f>
        <v/>
      </c>
      <c r="R91" s="2">
        <f>IF(O91="";"";O91-K91-O91*AK91-O91*AD91-IF(AM91&gt;0;AM91;'_Настройки'!$B$9)-AP91-AC91)</f>
        <v/>
      </c>
      <c r="S91" s="3">
        <f>IF(AND(O91&gt;0;K91&gt;0);R91/K91;"")</f>
        <v/>
      </c>
      <c r="T91" s="2" t="n"/>
      <c r="U91" s="3">
        <f>IF(AND(L91&gt;0;T91&gt;0);1-T91/L91;"")</f>
        <v/>
      </c>
      <c r="V91" s="3">
        <f>'_Настройки'!$B$4</f>
        <v/>
      </c>
      <c r="Z91" s="4">
        <f>IF(AND(W91&gt;0;X91&gt;0;Y91&gt;0);W91*X91*Y91/1000;"")</f>
        <v/>
      </c>
      <c r="AB91" s="2">
        <f>('_Настройки'!$B$6+MAX(0;Z91-1)*'_Настройки'!$B$7)*IF(AA91&gt;0;AA91;'_Настройки'!$B$10)</f>
        <v/>
      </c>
      <c r="AC91" s="2">
        <f>AB91*(1+'_Настройки'!$B$8)</f>
        <v/>
      </c>
      <c r="AD91" s="3">
        <f>'_Настройки'!$B$2</f>
        <v/>
      </c>
      <c r="AE91" s="2">
        <f>L91*AD91</f>
        <v/>
      </c>
      <c r="AF91" s="3">
        <f>'_Настройки'!$B$3</f>
        <v/>
      </c>
      <c r="AG91" s="3">
        <f>IFERROR(INDEX('_Комиссия_ВБ'!$B:$B;MATCH(C91;'_Комиссия_ВБ'!$A:$A;0));0,245)</f>
        <v/>
      </c>
      <c r="AH91" s="3">
        <f>AG91+AF91</f>
        <v/>
      </c>
      <c r="AI91" s="2">
        <f>L91*AH91</f>
        <v/>
      </c>
      <c r="AJ91" s="3">
        <f>IFERROR(INDEX('_Комиссия_ВБ'!$C:$C;MATCH(C91;'_Комиссия_ВБ'!$A:$A;0));0,28)</f>
        <v/>
      </c>
      <c r="AK91" s="3">
        <f>AJ91+AF91</f>
        <v/>
      </c>
      <c r="AL91" s="2">
        <f>L91*AK91</f>
        <v/>
      </c>
      <c r="AM91" s="2" t="n"/>
      <c r="AO91" s="3">
        <f>'_Настройки'!$B$5</f>
        <v/>
      </c>
      <c r="AP91" s="2">
        <f>IF(K91&gt;0;K91*AO91;0)</f>
        <v/>
      </c>
      <c r="AQ91" s="2">
        <f>L91-K91-AI91-AE91-IF(AM91&gt;0;AM91;'_Настройки'!$B$9)-AP91-AC91</f>
        <v/>
      </c>
      <c r="AR91" s="3">
        <f>IF(L91&gt;0;AQ91/L91;"")</f>
        <v/>
      </c>
      <c r="AS91" s="3">
        <f>IF(K91&gt;0;AQ91/K91;"")</f>
        <v/>
      </c>
      <c r="AT91" s="2">
        <f>L91-K91-AL91-AE91-IF(AM91&gt;0;AM91;'_Настройки'!$B$9)-AP91-AC91</f>
        <v/>
      </c>
      <c r="AU91" s="3">
        <f>IF(L91&gt;0;AT91/L91;"")</f>
        <v/>
      </c>
      <c r="AV91" s="3">
        <f>IF(K91&gt;0;AT91/K91;"")</f>
        <v/>
      </c>
    </row>
    <row r="92">
      <c r="A92">
        <f>ROW()-1</f>
        <v/>
      </c>
      <c r="K92" s="2">
        <f>IFERROR(INDEX('_Цены_закупки'!$B:$B;MATCH(C92;'_Цены_закупки'!$A:$A;0));"")</f>
        <v/>
      </c>
      <c r="L92" s="2" t="n"/>
      <c r="M92" s="2" t="n"/>
      <c r="N92" s="3">
        <f>IF(AND(M92&gt;0;L92&gt;0);1-L92/M92;"")</f>
        <v/>
      </c>
      <c r="O92" s="2">
        <f>IF(OR(Q92="";K92=0);"";(K92+IF(AM92&gt;0;AM92;'_Настройки'!$B$9)+AP92+AC92+Q92*K92)/(1-AH92-AD92))</f>
        <v/>
      </c>
      <c r="P92" s="2">
        <f>IF(O92="";"";O92-K92-O92*AH92-O92*AD92-IF(AM92&gt;0;AM92;'_Настройки'!$B$9)-AP92-AC92)</f>
        <v/>
      </c>
      <c r="Q92" s="3">
        <f>IF(AND(O92&gt;0;K92&gt;0);P92/K92;"")</f>
        <v/>
      </c>
      <c r="R92" s="2">
        <f>IF(O92="";"";O92-K92-O92*AK92-O92*AD92-IF(AM92&gt;0;AM92;'_Настройки'!$B$9)-AP92-AC92)</f>
        <v/>
      </c>
      <c r="S92" s="3">
        <f>IF(AND(O92&gt;0;K92&gt;0);R92/K92;"")</f>
        <v/>
      </c>
      <c r="T92" s="2" t="n"/>
      <c r="U92" s="3">
        <f>IF(AND(L92&gt;0;T92&gt;0);1-T92/L92;"")</f>
        <v/>
      </c>
      <c r="V92" s="3">
        <f>'_Настройки'!$B$4</f>
        <v/>
      </c>
      <c r="Z92" s="4">
        <f>IF(AND(W92&gt;0;X92&gt;0;Y92&gt;0);W92*X92*Y92/1000;"")</f>
        <v/>
      </c>
      <c r="AB92" s="2">
        <f>('_Настройки'!$B$6+MAX(0;Z92-1)*'_Настройки'!$B$7)*IF(AA92&gt;0;AA92;'_Настройки'!$B$10)</f>
        <v/>
      </c>
      <c r="AC92" s="2">
        <f>AB92*(1+'_Настройки'!$B$8)</f>
        <v/>
      </c>
      <c r="AD92" s="3">
        <f>'_Настройки'!$B$2</f>
        <v/>
      </c>
      <c r="AE92" s="2">
        <f>L92*AD92</f>
        <v/>
      </c>
      <c r="AF92" s="3">
        <f>'_Настройки'!$B$3</f>
        <v/>
      </c>
      <c r="AG92" s="3">
        <f>IFERROR(INDEX('_Комиссия_ВБ'!$B:$B;MATCH(C92;'_Комиссия_ВБ'!$A:$A;0));0,245)</f>
        <v/>
      </c>
      <c r="AH92" s="3">
        <f>AG92+AF92</f>
        <v/>
      </c>
      <c r="AI92" s="2">
        <f>L92*AH92</f>
        <v/>
      </c>
      <c r="AJ92" s="3">
        <f>IFERROR(INDEX('_Комиссия_ВБ'!$C:$C;MATCH(C92;'_Комиссия_ВБ'!$A:$A;0));0,28)</f>
        <v/>
      </c>
      <c r="AK92" s="3">
        <f>AJ92+AF92</f>
        <v/>
      </c>
      <c r="AL92" s="2">
        <f>L92*AK92</f>
        <v/>
      </c>
      <c r="AM92" s="2" t="n"/>
      <c r="AO92" s="3">
        <f>'_Настройки'!$B$5</f>
        <v/>
      </c>
      <c r="AP92" s="2">
        <f>IF(K92&gt;0;K92*AO92;0)</f>
        <v/>
      </c>
      <c r="AQ92" s="2">
        <f>L92-K92-AI92-AE92-IF(AM92&gt;0;AM92;'_Настройки'!$B$9)-AP92-AC92</f>
        <v/>
      </c>
      <c r="AR92" s="3">
        <f>IF(L92&gt;0;AQ92/L92;"")</f>
        <v/>
      </c>
      <c r="AS92" s="3">
        <f>IF(K92&gt;0;AQ92/K92;"")</f>
        <v/>
      </c>
      <c r="AT92" s="2">
        <f>L92-K92-AL92-AE92-IF(AM92&gt;0;AM92;'_Настройки'!$B$9)-AP92-AC92</f>
        <v/>
      </c>
      <c r="AU92" s="3">
        <f>IF(L92&gt;0;AT92/L92;"")</f>
        <v/>
      </c>
      <c r="AV92" s="3">
        <f>IF(K92&gt;0;AT92/K92;"")</f>
        <v/>
      </c>
    </row>
    <row r="93">
      <c r="A93">
        <f>ROW()-1</f>
        <v/>
      </c>
      <c r="K93" s="2">
        <f>IFERROR(INDEX('_Цены_закупки'!$B:$B;MATCH(C93;'_Цены_закупки'!$A:$A;0));"")</f>
        <v/>
      </c>
      <c r="L93" s="2" t="n"/>
      <c r="M93" s="2" t="n"/>
      <c r="N93" s="3">
        <f>IF(AND(M93&gt;0;L93&gt;0);1-L93/M93;"")</f>
        <v/>
      </c>
      <c r="O93" s="2">
        <f>IF(OR(Q93="";K93=0);"";(K93+IF(AM93&gt;0;AM93;'_Настройки'!$B$9)+AP93+AC93+Q93*K93)/(1-AH93-AD93))</f>
        <v/>
      </c>
      <c r="P93" s="2">
        <f>IF(O93="";"";O93-K93-O93*AH93-O93*AD93-IF(AM93&gt;0;AM93;'_Настройки'!$B$9)-AP93-AC93)</f>
        <v/>
      </c>
      <c r="Q93" s="3">
        <f>IF(AND(O93&gt;0;K93&gt;0);P93/K93;"")</f>
        <v/>
      </c>
      <c r="R93" s="2">
        <f>IF(O93="";"";O93-K93-O93*AK93-O93*AD93-IF(AM93&gt;0;AM93;'_Настройки'!$B$9)-AP93-AC93)</f>
        <v/>
      </c>
      <c r="S93" s="3">
        <f>IF(AND(O93&gt;0;K93&gt;0);R93/K93;"")</f>
        <v/>
      </c>
      <c r="T93" s="2" t="n"/>
      <c r="U93" s="3">
        <f>IF(AND(L93&gt;0;T93&gt;0);1-T93/L93;"")</f>
        <v/>
      </c>
      <c r="V93" s="3">
        <f>'_Настройки'!$B$4</f>
        <v/>
      </c>
      <c r="Z93" s="4">
        <f>IF(AND(W93&gt;0;X93&gt;0;Y93&gt;0);W93*X93*Y93/1000;"")</f>
        <v/>
      </c>
      <c r="AB93" s="2">
        <f>('_Настройки'!$B$6+MAX(0;Z93-1)*'_Настройки'!$B$7)*IF(AA93&gt;0;AA93;'_Настройки'!$B$10)</f>
        <v/>
      </c>
      <c r="AC93" s="2">
        <f>AB93*(1+'_Настройки'!$B$8)</f>
        <v/>
      </c>
      <c r="AD93" s="3">
        <f>'_Настройки'!$B$2</f>
        <v/>
      </c>
      <c r="AE93" s="2">
        <f>L93*AD93</f>
        <v/>
      </c>
      <c r="AF93" s="3">
        <f>'_Настройки'!$B$3</f>
        <v/>
      </c>
      <c r="AG93" s="3">
        <f>IFERROR(INDEX('_Комиссия_ВБ'!$B:$B;MATCH(C93;'_Комиссия_ВБ'!$A:$A;0));0,245)</f>
        <v/>
      </c>
      <c r="AH93" s="3">
        <f>AG93+AF93</f>
        <v/>
      </c>
      <c r="AI93" s="2">
        <f>L93*AH93</f>
        <v/>
      </c>
      <c r="AJ93" s="3">
        <f>IFERROR(INDEX('_Комиссия_ВБ'!$C:$C;MATCH(C93;'_Комиссия_ВБ'!$A:$A;0));0,28)</f>
        <v/>
      </c>
      <c r="AK93" s="3">
        <f>AJ93+AF93</f>
        <v/>
      </c>
      <c r="AL93" s="2">
        <f>L93*AK93</f>
        <v/>
      </c>
      <c r="AM93" s="2" t="n"/>
      <c r="AO93" s="3">
        <f>'_Настройки'!$B$5</f>
        <v/>
      </c>
      <c r="AP93" s="2">
        <f>IF(K93&gt;0;K93*AO93;0)</f>
        <v/>
      </c>
      <c r="AQ93" s="2">
        <f>L93-K93-AI93-AE93-IF(AM93&gt;0;AM93;'_Настройки'!$B$9)-AP93-AC93</f>
        <v/>
      </c>
      <c r="AR93" s="3">
        <f>IF(L93&gt;0;AQ93/L93;"")</f>
        <v/>
      </c>
      <c r="AS93" s="3">
        <f>IF(K93&gt;0;AQ93/K93;"")</f>
        <v/>
      </c>
      <c r="AT93" s="2">
        <f>L93-K93-AL93-AE93-IF(AM93&gt;0;AM93;'_Настройки'!$B$9)-AP93-AC93</f>
        <v/>
      </c>
      <c r="AU93" s="3">
        <f>IF(L93&gt;0;AT93/L93;"")</f>
        <v/>
      </c>
      <c r="AV93" s="3">
        <f>IF(K93&gt;0;AT93/K93;"")</f>
        <v/>
      </c>
    </row>
    <row r="94">
      <c r="A94">
        <f>ROW()-1</f>
        <v/>
      </c>
      <c r="K94" s="2">
        <f>IFERROR(INDEX('_Цены_закупки'!$B:$B;MATCH(C94;'_Цены_закупки'!$A:$A;0));"")</f>
        <v/>
      </c>
      <c r="L94" s="2" t="n"/>
      <c r="M94" s="2" t="n"/>
      <c r="N94" s="3">
        <f>IF(AND(M94&gt;0;L94&gt;0);1-L94/M94;"")</f>
        <v/>
      </c>
      <c r="O94" s="2">
        <f>IF(OR(Q94="";K94=0);"";(K94+IF(AM94&gt;0;AM94;'_Настройки'!$B$9)+AP94+AC94+Q94*K94)/(1-AH94-AD94))</f>
        <v/>
      </c>
      <c r="P94" s="2">
        <f>IF(O94="";"";O94-K94-O94*AH94-O94*AD94-IF(AM94&gt;0;AM94;'_Настройки'!$B$9)-AP94-AC94)</f>
        <v/>
      </c>
      <c r="Q94" s="3">
        <f>IF(AND(O94&gt;0;K94&gt;0);P94/K94;"")</f>
        <v/>
      </c>
      <c r="R94" s="2">
        <f>IF(O94="";"";O94-K94-O94*AK94-O94*AD94-IF(AM94&gt;0;AM94;'_Настройки'!$B$9)-AP94-AC94)</f>
        <v/>
      </c>
      <c r="S94" s="3">
        <f>IF(AND(O94&gt;0;K94&gt;0);R94/K94;"")</f>
        <v/>
      </c>
      <c r="T94" s="2" t="n"/>
      <c r="U94" s="3">
        <f>IF(AND(L94&gt;0;T94&gt;0);1-T94/L94;"")</f>
        <v/>
      </c>
      <c r="V94" s="3">
        <f>'_Настройки'!$B$4</f>
        <v/>
      </c>
      <c r="Z94" s="4">
        <f>IF(AND(W94&gt;0;X94&gt;0;Y94&gt;0);W94*X94*Y94/1000;"")</f>
        <v/>
      </c>
      <c r="AB94" s="2">
        <f>('_Настройки'!$B$6+MAX(0;Z94-1)*'_Настройки'!$B$7)*IF(AA94&gt;0;AA94;'_Настройки'!$B$10)</f>
        <v/>
      </c>
      <c r="AC94" s="2">
        <f>AB94*(1+'_Настройки'!$B$8)</f>
        <v/>
      </c>
      <c r="AD94" s="3">
        <f>'_Настройки'!$B$2</f>
        <v/>
      </c>
      <c r="AE94" s="2">
        <f>L94*AD94</f>
        <v/>
      </c>
      <c r="AF94" s="3">
        <f>'_Настройки'!$B$3</f>
        <v/>
      </c>
      <c r="AG94" s="3">
        <f>IFERROR(INDEX('_Комиссия_ВБ'!$B:$B;MATCH(C94;'_Комиссия_ВБ'!$A:$A;0));0,245)</f>
        <v/>
      </c>
      <c r="AH94" s="3">
        <f>AG94+AF94</f>
        <v/>
      </c>
      <c r="AI94" s="2">
        <f>L94*AH94</f>
        <v/>
      </c>
      <c r="AJ94" s="3">
        <f>IFERROR(INDEX('_Комиссия_ВБ'!$C:$C;MATCH(C94;'_Комиссия_ВБ'!$A:$A;0));0,28)</f>
        <v/>
      </c>
      <c r="AK94" s="3">
        <f>AJ94+AF94</f>
        <v/>
      </c>
      <c r="AL94" s="2">
        <f>L94*AK94</f>
        <v/>
      </c>
      <c r="AM94" s="2" t="n"/>
      <c r="AO94" s="3">
        <f>'_Настройки'!$B$5</f>
        <v/>
      </c>
      <c r="AP94" s="2">
        <f>IF(K94&gt;0;K94*AO94;0)</f>
        <v/>
      </c>
      <c r="AQ94" s="2">
        <f>L94-K94-AI94-AE94-IF(AM94&gt;0;AM94;'_Настройки'!$B$9)-AP94-AC94</f>
        <v/>
      </c>
      <c r="AR94" s="3">
        <f>IF(L94&gt;0;AQ94/L94;"")</f>
        <v/>
      </c>
      <c r="AS94" s="3">
        <f>IF(K94&gt;0;AQ94/K94;"")</f>
        <v/>
      </c>
      <c r="AT94" s="2">
        <f>L94-K94-AL94-AE94-IF(AM94&gt;0;AM94;'_Настройки'!$B$9)-AP94-AC94</f>
        <v/>
      </c>
      <c r="AU94" s="3">
        <f>IF(L94&gt;0;AT94/L94;"")</f>
        <v/>
      </c>
      <c r="AV94" s="3">
        <f>IF(K94&gt;0;AT94/K94;"")</f>
        <v/>
      </c>
    </row>
    <row r="95">
      <c r="A95">
        <f>ROW()-1</f>
        <v/>
      </c>
      <c r="K95" s="2">
        <f>IFERROR(INDEX('_Цены_закупки'!$B:$B;MATCH(C95;'_Цены_закупки'!$A:$A;0));"")</f>
        <v/>
      </c>
      <c r="L95" s="2" t="n"/>
      <c r="M95" s="2" t="n"/>
      <c r="N95" s="3">
        <f>IF(AND(M95&gt;0;L95&gt;0);1-L95/M95;"")</f>
        <v/>
      </c>
      <c r="O95" s="2">
        <f>IF(OR(Q95="";K95=0);"";(K95+IF(AM95&gt;0;AM95;'_Настройки'!$B$9)+AP95+AC95+Q95*K95)/(1-AH95-AD95))</f>
        <v/>
      </c>
      <c r="P95" s="2">
        <f>IF(O95="";"";O95-K95-O95*AH95-O95*AD95-IF(AM95&gt;0;AM95;'_Настройки'!$B$9)-AP95-AC95)</f>
        <v/>
      </c>
      <c r="Q95" s="3">
        <f>IF(AND(O95&gt;0;K95&gt;0);P95/K95;"")</f>
        <v/>
      </c>
      <c r="R95" s="2">
        <f>IF(O95="";"";O95-K95-O95*AK95-O95*AD95-IF(AM95&gt;0;AM95;'_Настройки'!$B$9)-AP95-AC95)</f>
        <v/>
      </c>
      <c r="S95" s="3">
        <f>IF(AND(O95&gt;0;K95&gt;0);R95/K95;"")</f>
        <v/>
      </c>
      <c r="T95" s="2" t="n"/>
      <c r="U95" s="3">
        <f>IF(AND(L95&gt;0;T95&gt;0);1-T95/L95;"")</f>
        <v/>
      </c>
      <c r="V95" s="3">
        <f>'_Настройки'!$B$4</f>
        <v/>
      </c>
      <c r="Z95" s="4">
        <f>IF(AND(W95&gt;0;X95&gt;0;Y95&gt;0);W95*X95*Y95/1000;"")</f>
        <v/>
      </c>
      <c r="AB95" s="2">
        <f>('_Настройки'!$B$6+MAX(0;Z95-1)*'_Настройки'!$B$7)*IF(AA95&gt;0;AA95;'_Настройки'!$B$10)</f>
        <v/>
      </c>
      <c r="AC95" s="2">
        <f>AB95*(1+'_Настройки'!$B$8)</f>
        <v/>
      </c>
      <c r="AD95" s="3">
        <f>'_Настройки'!$B$2</f>
        <v/>
      </c>
      <c r="AE95" s="2">
        <f>L95*AD95</f>
        <v/>
      </c>
      <c r="AF95" s="3">
        <f>'_Настройки'!$B$3</f>
        <v/>
      </c>
      <c r="AG95" s="3">
        <f>IFERROR(INDEX('_Комиссия_ВБ'!$B:$B;MATCH(C95;'_Комиссия_ВБ'!$A:$A;0));0,245)</f>
        <v/>
      </c>
      <c r="AH95" s="3">
        <f>AG95+AF95</f>
        <v/>
      </c>
      <c r="AI95" s="2">
        <f>L95*AH95</f>
        <v/>
      </c>
      <c r="AJ95" s="3">
        <f>IFERROR(INDEX('_Комиссия_ВБ'!$C:$C;MATCH(C95;'_Комиссия_ВБ'!$A:$A;0));0,28)</f>
        <v/>
      </c>
      <c r="AK95" s="3">
        <f>AJ95+AF95</f>
        <v/>
      </c>
      <c r="AL95" s="2">
        <f>L95*AK95</f>
        <v/>
      </c>
      <c r="AM95" s="2" t="n"/>
      <c r="AO95" s="3">
        <f>'_Настройки'!$B$5</f>
        <v/>
      </c>
      <c r="AP95" s="2">
        <f>IF(K95&gt;0;K95*AO95;0)</f>
        <v/>
      </c>
      <c r="AQ95" s="2">
        <f>L95-K95-AI95-AE95-IF(AM95&gt;0;AM95;'_Настройки'!$B$9)-AP95-AC95</f>
        <v/>
      </c>
      <c r="AR95" s="3">
        <f>IF(L95&gt;0;AQ95/L95;"")</f>
        <v/>
      </c>
      <c r="AS95" s="3">
        <f>IF(K95&gt;0;AQ95/K95;"")</f>
        <v/>
      </c>
      <c r="AT95" s="2">
        <f>L95-K95-AL95-AE95-IF(AM95&gt;0;AM95;'_Настройки'!$B$9)-AP95-AC95</f>
        <v/>
      </c>
      <c r="AU95" s="3">
        <f>IF(L95&gt;0;AT95/L95;"")</f>
        <v/>
      </c>
      <c r="AV95" s="3">
        <f>IF(K95&gt;0;AT95/K95;"")</f>
        <v/>
      </c>
    </row>
    <row r="96">
      <c r="A96">
        <f>ROW()-1</f>
        <v/>
      </c>
      <c r="K96" s="2">
        <f>IFERROR(INDEX('_Цены_закупки'!$B:$B;MATCH(C96;'_Цены_закупки'!$A:$A;0));"")</f>
        <v/>
      </c>
      <c r="L96" s="2" t="n"/>
      <c r="M96" s="2" t="n"/>
      <c r="N96" s="3">
        <f>IF(AND(M96&gt;0;L96&gt;0);1-L96/M96;"")</f>
        <v/>
      </c>
      <c r="O96" s="2">
        <f>IF(OR(Q96="";K96=0);"";(K96+IF(AM96&gt;0;AM96;'_Настройки'!$B$9)+AP96+AC96+Q96*K96)/(1-AH96-AD96))</f>
        <v/>
      </c>
      <c r="P96" s="2">
        <f>IF(O96="";"";O96-K96-O96*AH96-O96*AD96-IF(AM96&gt;0;AM96;'_Настройки'!$B$9)-AP96-AC96)</f>
        <v/>
      </c>
      <c r="Q96" s="3">
        <f>IF(AND(O96&gt;0;K96&gt;0);P96/K96;"")</f>
        <v/>
      </c>
      <c r="R96" s="2">
        <f>IF(O96="";"";O96-K96-O96*AK96-O96*AD96-IF(AM96&gt;0;AM96;'_Настройки'!$B$9)-AP96-AC96)</f>
        <v/>
      </c>
      <c r="S96" s="3">
        <f>IF(AND(O96&gt;0;K96&gt;0);R96/K96;"")</f>
        <v/>
      </c>
      <c r="T96" s="2" t="n"/>
      <c r="U96" s="3">
        <f>IF(AND(L96&gt;0;T96&gt;0);1-T96/L96;"")</f>
        <v/>
      </c>
      <c r="V96" s="3">
        <f>'_Настройки'!$B$4</f>
        <v/>
      </c>
      <c r="Z96" s="4">
        <f>IF(AND(W96&gt;0;X96&gt;0;Y96&gt;0);W96*X96*Y96/1000;"")</f>
        <v/>
      </c>
      <c r="AB96" s="2">
        <f>('_Настройки'!$B$6+MAX(0;Z96-1)*'_Настройки'!$B$7)*IF(AA96&gt;0;AA96;'_Настройки'!$B$10)</f>
        <v/>
      </c>
      <c r="AC96" s="2">
        <f>AB96*(1+'_Настройки'!$B$8)</f>
        <v/>
      </c>
      <c r="AD96" s="3">
        <f>'_Настройки'!$B$2</f>
        <v/>
      </c>
      <c r="AE96" s="2">
        <f>L96*AD96</f>
        <v/>
      </c>
      <c r="AF96" s="3">
        <f>'_Настройки'!$B$3</f>
        <v/>
      </c>
      <c r="AG96" s="3">
        <f>IFERROR(INDEX('_Комиссия_ВБ'!$B:$B;MATCH(C96;'_Комиссия_ВБ'!$A:$A;0));0,245)</f>
        <v/>
      </c>
      <c r="AH96" s="3">
        <f>AG96+AF96</f>
        <v/>
      </c>
      <c r="AI96" s="2">
        <f>L96*AH96</f>
        <v/>
      </c>
      <c r="AJ96" s="3">
        <f>IFERROR(INDEX('_Комиссия_ВБ'!$C:$C;MATCH(C96;'_Комиссия_ВБ'!$A:$A;0));0,28)</f>
        <v/>
      </c>
      <c r="AK96" s="3">
        <f>AJ96+AF96</f>
        <v/>
      </c>
      <c r="AL96" s="2">
        <f>L96*AK96</f>
        <v/>
      </c>
      <c r="AM96" s="2" t="n"/>
      <c r="AO96" s="3">
        <f>'_Настройки'!$B$5</f>
        <v/>
      </c>
      <c r="AP96" s="2">
        <f>IF(K96&gt;0;K96*AO96;0)</f>
        <v/>
      </c>
      <c r="AQ96" s="2">
        <f>L96-K96-AI96-AE96-IF(AM96&gt;0;AM96;'_Настройки'!$B$9)-AP96-AC96</f>
        <v/>
      </c>
      <c r="AR96" s="3">
        <f>IF(L96&gt;0;AQ96/L96;"")</f>
        <v/>
      </c>
      <c r="AS96" s="3">
        <f>IF(K96&gt;0;AQ96/K96;"")</f>
        <v/>
      </c>
      <c r="AT96" s="2">
        <f>L96-K96-AL96-AE96-IF(AM96&gt;0;AM96;'_Настройки'!$B$9)-AP96-AC96</f>
        <v/>
      </c>
      <c r="AU96" s="3">
        <f>IF(L96&gt;0;AT96/L96;"")</f>
        <v/>
      </c>
      <c r="AV96" s="3">
        <f>IF(K96&gt;0;AT96/K96;"")</f>
        <v/>
      </c>
    </row>
    <row r="97">
      <c r="A97">
        <f>ROW()-1</f>
        <v/>
      </c>
      <c r="K97" s="2">
        <f>IFERROR(INDEX('_Цены_закупки'!$B:$B;MATCH(C97;'_Цены_закупки'!$A:$A;0));"")</f>
        <v/>
      </c>
      <c r="L97" s="2" t="n"/>
      <c r="M97" s="2" t="n"/>
      <c r="N97" s="3">
        <f>IF(AND(M97&gt;0;L97&gt;0);1-L97/M97;"")</f>
        <v/>
      </c>
      <c r="O97" s="2">
        <f>IF(OR(Q97="";K97=0);"";(K97+IF(AM97&gt;0;AM97;'_Настройки'!$B$9)+AP97+AC97+Q97*K97)/(1-AH97-AD97))</f>
        <v/>
      </c>
      <c r="P97" s="2">
        <f>IF(O97="";"";O97-K97-O97*AH97-O97*AD97-IF(AM97&gt;0;AM97;'_Настройки'!$B$9)-AP97-AC97)</f>
        <v/>
      </c>
      <c r="Q97" s="3">
        <f>IF(AND(O97&gt;0;K97&gt;0);P97/K97;"")</f>
        <v/>
      </c>
      <c r="R97" s="2">
        <f>IF(O97="";"";O97-K97-O97*AK97-O97*AD97-IF(AM97&gt;0;AM97;'_Настройки'!$B$9)-AP97-AC97)</f>
        <v/>
      </c>
      <c r="S97" s="3">
        <f>IF(AND(O97&gt;0;K97&gt;0);R97/K97;"")</f>
        <v/>
      </c>
      <c r="T97" s="2" t="n"/>
      <c r="U97" s="3">
        <f>IF(AND(L97&gt;0;T97&gt;0);1-T97/L97;"")</f>
        <v/>
      </c>
      <c r="V97" s="3">
        <f>'_Настройки'!$B$4</f>
        <v/>
      </c>
      <c r="Z97" s="4">
        <f>IF(AND(W97&gt;0;X97&gt;0;Y97&gt;0);W97*X97*Y97/1000;"")</f>
        <v/>
      </c>
      <c r="AB97" s="2">
        <f>('_Настройки'!$B$6+MAX(0;Z97-1)*'_Настройки'!$B$7)*IF(AA97&gt;0;AA97;'_Настройки'!$B$10)</f>
        <v/>
      </c>
      <c r="AC97" s="2">
        <f>AB97*(1+'_Настройки'!$B$8)</f>
        <v/>
      </c>
      <c r="AD97" s="3">
        <f>'_Настройки'!$B$2</f>
        <v/>
      </c>
      <c r="AE97" s="2">
        <f>L97*AD97</f>
        <v/>
      </c>
      <c r="AF97" s="3">
        <f>'_Настройки'!$B$3</f>
        <v/>
      </c>
      <c r="AG97" s="3">
        <f>IFERROR(INDEX('_Комиссия_ВБ'!$B:$B;MATCH(C97;'_Комиссия_ВБ'!$A:$A;0));0,245)</f>
        <v/>
      </c>
      <c r="AH97" s="3">
        <f>AG97+AF97</f>
        <v/>
      </c>
      <c r="AI97" s="2">
        <f>L97*AH97</f>
        <v/>
      </c>
      <c r="AJ97" s="3">
        <f>IFERROR(INDEX('_Комиссия_ВБ'!$C:$C;MATCH(C97;'_Комиссия_ВБ'!$A:$A;0));0,28)</f>
        <v/>
      </c>
      <c r="AK97" s="3">
        <f>AJ97+AF97</f>
        <v/>
      </c>
      <c r="AL97" s="2">
        <f>L97*AK97</f>
        <v/>
      </c>
      <c r="AM97" s="2" t="n"/>
      <c r="AO97" s="3">
        <f>'_Настройки'!$B$5</f>
        <v/>
      </c>
      <c r="AP97" s="2">
        <f>IF(K97&gt;0;K97*AO97;0)</f>
        <v/>
      </c>
      <c r="AQ97" s="2">
        <f>L97-K97-AI97-AE97-IF(AM97&gt;0;AM97;'_Настройки'!$B$9)-AP97-AC97</f>
        <v/>
      </c>
      <c r="AR97" s="3">
        <f>IF(L97&gt;0;AQ97/L97;"")</f>
        <v/>
      </c>
      <c r="AS97" s="3">
        <f>IF(K97&gt;0;AQ97/K97;"")</f>
        <v/>
      </c>
      <c r="AT97" s="2">
        <f>L97-K97-AL97-AE97-IF(AM97&gt;0;AM97;'_Настройки'!$B$9)-AP97-AC97</f>
        <v/>
      </c>
      <c r="AU97" s="3">
        <f>IF(L97&gt;0;AT97/L97;"")</f>
        <v/>
      </c>
      <c r="AV97" s="3">
        <f>IF(K97&gt;0;AT97/K97;"")</f>
        <v/>
      </c>
    </row>
    <row r="98">
      <c r="A98">
        <f>ROW()-1</f>
        <v/>
      </c>
      <c r="K98" s="2">
        <f>IFERROR(INDEX('_Цены_закупки'!$B:$B;MATCH(C98;'_Цены_закупки'!$A:$A;0));"")</f>
        <v/>
      </c>
      <c r="L98" s="2" t="n"/>
      <c r="M98" s="2" t="n"/>
      <c r="N98" s="3">
        <f>IF(AND(M98&gt;0;L98&gt;0);1-L98/M98;"")</f>
        <v/>
      </c>
      <c r="O98" s="2">
        <f>IF(OR(Q98="";K98=0);"";(K98+IF(AM98&gt;0;AM98;'_Настройки'!$B$9)+AP98+AC98+Q98*K98)/(1-AH98-AD98))</f>
        <v/>
      </c>
      <c r="P98" s="2">
        <f>IF(O98="";"";O98-K98-O98*AH98-O98*AD98-IF(AM98&gt;0;AM98;'_Настройки'!$B$9)-AP98-AC98)</f>
        <v/>
      </c>
      <c r="Q98" s="3">
        <f>IF(AND(O98&gt;0;K98&gt;0);P98/K98;"")</f>
        <v/>
      </c>
      <c r="R98" s="2">
        <f>IF(O98="";"";O98-K98-O98*AK98-O98*AD98-IF(AM98&gt;0;AM98;'_Настройки'!$B$9)-AP98-AC98)</f>
        <v/>
      </c>
      <c r="S98" s="3">
        <f>IF(AND(O98&gt;0;K98&gt;0);R98/K98;"")</f>
        <v/>
      </c>
      <c r="T98" s="2" t="n"/>
      <c r="U98" s="3">
        <f>IF(AND(L98&gt;0;T98&gt;0);1-T98/L98;"")</f>
        <v/>
      </c>
      <c r="V98" s="3">
        <f>'_Настройки'!$B$4</f>
        <v/>
      </c>
      <c r="Z98" s="4">
        <f>IF(AND(W98&gt;0;X98&gt;0;Y98&gt;0);W98*X98*Y98/1000;"")</f>
        <v/>
      </c>
      <c r="AB98" s="2">
        <f>('_Настройки'!$B$6+MAX(0;Z98-1)*'_Настройки'!$B$7)*IF(AA98&gt;0;AA98;'_Настройки'!$B$10)</f>
        <v/>
      </c>
      <c r="AC98" s="2">
        <f>AB98*(1+'_Настройки'!$B$8)</f>
        <v/>
      </c>
      <c r="AD98" s="3">
        <f>'_Настройки'!$B$2</f>
        <v/>
      </c>
      <c r="AE98" s="2">
        <f>L98*AD98</f>
        <v/>
      </c>
      <c r="AF98" s="3">
        <f>'_Настройки'!$B$3</f>
        <v/>
      </c>
      <c r="AG98" s="3">
        <f>IFERROR(INDEX('_Комиссия_ВБ'!$B:$B;MATCH(C98;'_Комиссия_ВБ'!$A:$A;0));0,245)</f>
        <v/>
      </c>
      <c r="AH98" s="3">
        <f>AG98+AF98</f>
        <v/>
      </c>
      <c r="AI98" s="2">
        <f>L98*AH98</f>
        <v/>
      </c>
      <c r="AJ98" s="3">
        <f>IFERROR(INDEX('_Комиссия_ВБ'!$C:$C;MATCH(C98;'_Комиссия_ВБ'!$A:$A;0));0,28)</f>
        <v/>
      </c>
      <c r="AK98" s="3">
        <f>AJ98+AF98</f>
        <v/>
      </c>
      <c r="AL98" s="2">
        <f>L98*AK98</f>
        <v/>
      </c>
      <c r="AM98" s="2" t="n"/>
      <c r="AO98" s="3">
        <f>'_Настройки'!$B$5</f>
        <v/>
      </c>
      <c r="AP98" s="2">
        <f>IF(K98&gt;0;K98*AO98;0)</f>
        <v/>
      </c>
      <c r="AQ98" s="2">
        <f>L98-K98-AI98-AE98-IF(AM98&gt;0;AM98;'_Настройки'!$B$9)-AP98-AC98</f>
        <v/>
      </c>
      <c r="AR98" s="3">
        <f>IF(L98&gt;0;AQ98/L98;"")</f>
        <v/>
      </c>
      <c r="AS98" s="3">
        <f>IF(K98&gt;0;AQ98/K98;"")</f>
        <v/>
      </c>
      <c r="AT98" s="2">
        <f>L98-K98-AL98-AE98-IF(AM98&gt;0;AM98;'_Настройки'!$B$9)-AP98-AC98</f>
        <v/>
      </c>
      <c r="AU98" s="3">
        <f>IF(L98&gt;0;AT98/L98;"")</f>
        <v/>
      </c>
      <c r="AV98" s="3">
        <f>IF(K98&gt;0;AT98/K98;"")</f>
        <v/>
      </c>
    </row>
    <row r="99">
      <c r="A99">
        <f>ROW()-1</f>
        <v/>
      </c>
      <c r="K99" s="2">
        <f>IFERROR(INDEX('_Цены_закупки'!$B:$B;MATCH(C99;'_Цены_закупки'!$A:$A;0));"")</f>
        <v/>
      </c>
      <c r="L99" s="2" t="n"/>
      <c r="M99" s="2" t="n"/>
      <c r="N99" s="3">
        <f>IF(AND(M99&gt;0;L99&gt;0);1-L99/M99;"")</f>
        <v/>
      </c>
      <c r="O99" s="2">
        <f>IF(OR(Q99="";K99=0);"";(K99+IF(AM99&gt;0;AM99;'_Настройки'!$B$9)+AP99+AC99+Q99*K99)/(1-AH99-AD99))</f>
        <v/>
      </c>
      <c r="P99" s="2">
        <f>IF(O99="";"";O99-K99-O99*AH99-O99*AD99-IF(AM99&gt;0;AM99;'_Настройки'!$B$9)-AP99-AC99)</f>
        <v/>
      </c>
      <c r="Q99" s="3">
        <f>IF(AND(O99&gt;0;K99&gt;0);P99/K99;"")</f>
        <v/>
      </c>
      <c r="R99" s="2">
        <f>IF(O99="";"";O99-K99-O99*AK99-O99*AD99-IF(AM99&gt;0;AM99;'_Настройки'!$B$9)-AP99-AC99)</f>
        <v/>
      </c>
      <c r="S99" s="3">
        <f>IF(AND(O99&gt;0;K99&gt;0);R99/K99;"")</f>
        <v/>
      </c>
      <c r="T99" s="2" t="n"/>
      <c r="U99" s="3">
        <f>IF(AND(L99&gt;0;T99&gt;0);1-T99/L99;"")</f>
        <v/>
      </c>
      <c r="V99" s="3">
        <f>'_Настройки'!$B$4</f>
        <v/>
      </c>
      <c r="Z99" s="4">
        <f>IF(AND(W99&gt;0;X99&gt;0;Y99&gt;0);W99*X99*Y99/1000;"")</f>
        <v/>
      </c>
      <c r="AB99" s="2">
        <f>('_Настройки'!$B$6+MAX(0;Z99-1)*'_Настройки'!$B$7)*IF(AA99&gt;0;AA99;'_Настройки'!$B$10)</f>
        <v/>
      </c>
      <c r="AC99" s="2">
        <f>AB99*(1+'_Настройки'!$B$8)</f>
        <v/>
      </c>
      <c r="AD99" s="3">
        <f>'_Настройки'!$B$2</f>
        <v/>
      </c>
      <c r="AE99" s="2">
        <f>L99*AD99</f>
        <v/>
      </c>
      <c r="AF99" s="3">
        <f>'_Настройки'!$B$3</f>
        <v/>
      </c>
      <c r="AG99" s="3">
        <f>IFERROR(INDEX('_Комиссия_ВБ'!$B:$B;MATCH(C99;'_Комиссия_ВБ'!$A:$A;0));0,245)</f>
        <v/>
      </c>
      <c r="AH99" s="3">
        <f>AG99+AF99</f>
        <v/>
      </c>
      <c r="AI99" s="2">
        <f>L99*AH99</f>
        <v/>
      </c>
      <c r="AJ99" s="3">
        <f>IFERROR(INDEX('_Комиссия_ВБ'!$C:$C;MATCH(C99;'_Комиссия_ВБ'!$A:$A;0));0,28)</f>
        <v/>
      </c>
      <c r="AK99" s="3">
        <f>AJ99+AF99</f>
        <v/>
      </c>
      <c r="AL99" s="2">
        <f>L99*AK99</f>
        <v/>
      </c>
      <c r="AM99" s="2" t="n"/>
      <c r="AO99" s="3">
        <f>'_Настройки'!$B$5</f>
        <v/>
      </c>
      <c r="AP99" s="2">
        <f>IF(K99&gt;0;K99*AO99;0)</f>
        <v/>
      </c>
      <c r="AQ99" s="2">
        <f>L99-K99-AI99-AE99-IF(AM99&gt;0;AM99;'_Настройки'!$B$9)-AP99-AC99</f>
        <v/>
      </c>
      <c r="AR99" s="3">
        <f>IF(L99&gt;0;AQ99/L99;"")</f>
        <v/>
      </c>
      <c r="AS99" s="3">
        <f>IF(K99&gt;0;AQ99/K99;"")</f>
        <v/>
      </c>
      <c r="AT99" s="2">
        <f>L99-K99-AL99-AE99-IF(AM99&gt;0;AM99;'_Настройки'!$B$9)-AP99-AC99</f>
        <v/>
      </c>
      <c r="AU99" s="3">
        <f>IF(L99&gt;0;AT99/L99;"")</f>
        <v/>
      </c>
      <c r="AV99" s="3">
        <f>IF(K99&gt;0;AT99/K99;"")</f>
        <v/>
      </c>
    </row>
    <row r="100">
      <c r="A100">
        <f>ROW()-1</f>
        <v/>
      </c>
      <c r="K100" s="2">
        <f>IFERROR(INDEX('_Цены_закупки'!$B:$B;MATCH(C100;'_Цены_закупки'!$A:$A;0));"")</f>
        <v/>
      </c>
      <c r="L100" s="2" t="n"/>
      <c r="M100" s="2" t="n"/>
      <c r="N100" s="3">
        <f>IF(AND(M100&gt;0;L100&gt;0);1-L100/M100;"")</f>
        <v/>
      </c>
      <c r="O100" s="2">
        <f>IF(OR(Q100="";K100=0);"";(K100+IF(AM100&gt;0;AM100;'_Настройки'!$B$9)+AP100+AC100+Q100*K100)/(1-AH100-AD100))</f>
        <v/>
      </c>
      <c r="P100" s="2">
        <f>IF(O100="";"";O100-K100-O100*AH100-O100*AD100-IF(AM100&gt;0;AM100;'_Настройки'!$B$9)-AP100-AC100)</f>
        <v/>
      </c>
      <c r="Q100" s="3">
        <f>IF(AND(O100&gt;0;K100&gt;0);P100/K100;"")</f>
        <v/>
      </c>
      <c r="R100" s="2">
        <f>IF(O100="";"";O100-K100-O100*AK100-O100*AD100-IF(AM100&gt;0;AM100;'_Настройки'!$B$9)-AP100-AC100)</f>
        <v/>
      </c>
      <c r="S100" s="3">
        <f>IF(AND(O100&gt;0;K100&gt;0);R100/K100;"")</f>
        <v/>
      </c>
      <c r="T100" s="2" t="n"/>
      <c r="U100" s="3">
        <f>IF(AND(L100&gt;0;T100&gt;0);1-T100/L100;"")</f>
        <v/>
      </c>
      <c r="V100" s="3">
        <f>'_Настройки'!$B$4</f>
        <v/>
      </c>
      <c r="Z100" s="4">
        <f>IF(AND(W100&gt;0;X100&gt;0;Y100&gt;0);W100*X100*Y100/1000;"")</f>
        <v/>
      </c>
      <c r="AB100" s="2">
        <f>('_Настройки'!$B$6+MAX(0;Z100-1)*'_Настройки'!$B$7)*IF(AA100&gt;0;AA100;'_Настройки'!$B$10)</f>
        <v/>
      </c>
      <c r="AC100" s="2">
        <f>AB100*(1+'_Настройки'!$B$8)</f>
        <v/>
      </c>
      <c r="AD100" s="3">
        <f>'_Настройки'!$B$2</f>
        <v/>
      </c>
      <c r="AE100" s="2">
        <f>L100*AD100</f>
        <v/>
      </c>
      <c r="AF100" s="3">
        <f>'_Настройки'!$B$3</f>
        <v/>
      </c>
      <c r="AG100" s="3">
        <f>IFERROR(INDEX('_Комиссия_ВБ'!$B:$B;MATCH(C100;'_Комиссия_ВБ'!$A:$A;0));0,245)</f>
        <v/>
      </c>
      <c r="AH100" s="3">
        <f>AG100+AF100</f>
        <v/>
      </c>
      <c r="AI100" s="2">
        <f>L100*AH100</f>
        <v/>
      </c>
      <c r="AJ100" s="3">
        <f>IFERROR(INDEX('_Комиссия_ВБ'!$C:$C;MATCH(C100;'_Комиссия_ВБ'!$A:$A;0));0,28)</f>
        <v/>
      </c>
      <c r="AK100" s="3">
        <f>AJ100+AF100</f>
        <v/>
      </c>
      <c r="AL100" s="2">
        <f>L100*AK100</f>
        <v/>
      </c>
      <c r="AM100" s="2" t="n"/>
      <c r="AO100" s="3">
        <f>'_Настройки'!$B$5</f>
        <v/>
      </c>
      <c r="AP100" s="2">
        <f>IF(K100&gt;0;K100*AO100;0)</f>
        <v/>
      </c>
      <c r="AQ100" s="2">
        <f>L100-K100-AI100-AE100-IF(AM100&gt;0;AM100;'_Настройки'!$B$9)-AP100-AC100</f>
        <v/>
      </c>
      <c r="AR100" s="3">
        <f>IF(L100&gt;0;AQ100/L100;"")</f>
        <v/>
      </c>
      <c r="AS100" s="3">
        <f>IF(K100&gt;0;AQ100/K100;"")</f>
        <v/>
      </c>
      <c r="AT100" s="2">
        <f>L100-K100-AL100-AE100-IF(AM100&gt;0;AM100;'_Настройки'!$B$9)-AP100-AC100</f>
        <v/>
      </c>
      <c r="AU100" s="3">
        <f>IF(L100&gt;0;AT100/L100;"")</f>
        <v/>
      </c>
      <c r="AV100" s="3">
        <f>IF(K100&gt;0;AT100/K100;"")</f>
        <v/>
      </c>
    </row>
    <row r="101">
      <c r="A101">
        <f>ROW()-1</f>
        <v/>
      </c>
      <c r="K101" s="2">
        <f>IFERROR(INDEX('_Цены_закупки'!$B:$B;MATCH(C101;'_Цены_закупки'!$A:$A;0));"")</f>
        <v/>
      </c>
      <c r="L101" s="2" t="n"/>
      <c r="M101" s="2" t="n"/>
      <c r="N101" s="3">
        <f>IF(AND(M101&gt;0;L101&gt;0);1-L101/M101;"")</f>
        <v/>
      </c>
      <c r="O101" s="2">
        <f>IF(OR(Q101="";K101=0);"";(K101+IF(AM101&gt;0;AM101;'_Настройки'!$B$9)+AP101+AC101+Q101*K101)/(1-AH101-AD101))</f>
        <v/>
      </c>
      <c r="P101" s="2">
        <f>IF(O101="";"";O101-K101-O101*AH101-O101*AD101-IF(AM101&gt;0;AM101;'_Настройки'!$B$9)-AP101-AC101)</f>
        <v/>
      </c>
      <c r="Q101" s="3">
        <f>IF(AND(O101&gt;0;K101&gt;0);P101/K101;"")</f>
        <v/>
      </c>
      <c r="R101" s="2">
        <f>IF(O101="";"";O101-K101-O101*AK101-O101*AD101-IF(AM101&gt;0;AM101;'_Настройки'!$B$9)-AP101-AC101)</f>
        <v/>
      </c>
      <c r="S101" s="3">
        <f>IF(AND(O101&gt;0;K101&gt;0);R101/K101;"")</f>
        <v/>
      </c>
      <c r="T101" s="2" t="n"/>
      <c r="U101" s="3">
        <f>IF(AND(L101&gt;0;T101&gt;0);1-T101/L101;"")</f>
        <v/>
      </c>
      <c r="V101" s="3">
        <f>'_Настройки'!$B$4</f>
        <v/>
      </c>
      <c r="Z101" s="4">
        <f>IF(AND(W101&gt;0;X101&gt;0;Y101&gt;0);W101*X101*Y101/1000;"")</f>
        <v/>
      </c>
      <c r="AB101" s="2">
        <f>('_Настройки'!$B$6+MAX(0;Z101-1)*'_Настройки'!$B$7)*IF(AA101&gt;0;AA101;'_Настройки'!$B$10)</f>
        <v/>
      </c>
      <c r="AC101" s="2">
        <f>AB101*(1+'_Настройки'!$B$8)</f>
        <v/>
      </c>
      <c r="AD101" s="3">
        <f>'_Настройки'!$B$2</f>
        <v/>
      </c>
      <c r="AE101" s="2">
        <f>L101*AD101</f>
        <v/>
      </c>
      <c r="AF101" s="3">
        <f>'_Настройки'!$B$3</f>
        <v/>
      </c>
      <c r="AG101" s="3">
        <f>IFERROR(INDEX('_Комиссия_ВБ'!$B:$B;MATCH(C101;'_Комиссия_ВБ'!$A:$A;0));0,245)</f>
        <v/>
      </c>
      <c r="AH101" s="3">
        <f>AG101+AF101</f>
        <v/>
      </c>
      <c r="AI101" s="2">
        <f>L101*AH101</f>
        <v/>
      </c>
      <c r="AJ101" s="3">
        <f>IFERROR(INDEX('_Комиссия_ВБ'!$C:$C;MATCH(C101;'_Комиссия_ВБ'!$A:$A;0));0,28)</f>
        <v/>
      </c>
      <c r="AK101" s="3">
        <f>AJ101+AF101</f>
        <v/>
      </c>
      <c r="AL101" s="2">
        <f>L101*AK101</f>
        <v/>
      </c>
      <c r="AM101" s="2" t="n"/>
      <c r="AO101" s="3">
        <f>'_Настройки'!$B$5</f>
        <v/>
      </c>
      <c r="AP101" s="2">
        <f>IF(K101&gt;0;K101*AO101;0)</f>
        <v/>
      </c>
      <c r="AQ101" s="2">
        <f>L101-K101-AI101-AE101-IF(AM101&gt;0;AM101;'_Настройки'!$B$9)-AP101-AC101</f>
        <v/>
      </c>
      <c r="AR101" s="3">
        <f>IF(L101&gt;0;AQ101/L101;"")</f>
        <v/>
      </c>
      <c r="AS101" s="3">
        <f>IF(K101&gt;0;AQ101/K101;"")</f>
        <v/>
      </c>
      <c r="AT101" s="2">
        <f>L101-K101-AL101-AE101-IF(AM101&gt;0;AM101;'_Настройки'!$B$9)-AP101-AC101</f>
        <v/>
      </c>
      <c r="AU101" s="3">
        <f>IF(L101&gt;0;AT101/L101;"")</f>
        <v/>
      </c>
      <c r="AV101" s="3">
        <f>IF(K101&gt;0;AT101/K101;"")</f>
        <v/>
      </c>
    </row>
    <row r="102">
      <c r="A102">
        <f>ROW()-1</f>
        <v/>
      </c>
      <c r="K102" s="2">
        <f>IFERROR(INDEX('_Цены_закупки'!$B:$B;MATCH(C102;'_Цены_закупки'!$A:$A;0));"")</f>
        <v/>
      </c>
      <c r="L102" s="2" t="n"/>
      <c r="M102" s="2" t="n"/>
      <c r="N102" s="3">
        <f>IF(AND(M102&gt;0;L102&gt;0);1-L102/M102;"")</f>
        <v/>
      </c>
      <c r="O102" s="2">
        <f>IF(OR(Q102="";K102=0);"";(K102+IF(AM102&gt;0;AM102;'_Настройки'!$B$9)+AP102+AC102+Q102*K102)/(1-AH102-AD102))</f>
        <v/>
      </c>
      <c r="P102" s="2">
        <f>IF(O102="";"";O102-K102-O102*AH102-O102*AD102-IF(AM102&gt;0;AM102;'_Настройки'!$B$9)-AP102-AC102)</f>
        <v/>
      </c>
      <c r="Q102" s="3">
        <f>IF(AND(O102&gt;0;K102&gt;0);P102/K102;"")</f>
        <v/>
      </c>
      <c r="R102" s="2">
        <f>IF(O102="";"";O102-K102-O102*AK102-O102*AD102-IF(AM102&gt;0;AM102;'_Настройки'!$B$9)-AP102-AC102)</f>
        <v/>
      </c>
      <c r="S102" s="3">
        <f>IF(AND(O102&gt;0;K102&gt;0);R102/K102;"")</f>
        <v/>
      </c>
      <c r="T102" s="2" t="n"/>
      <c r="U102" s="3">
        <f>IF(AND(L102&gt;0;T102&gt;0);1-T102/L102;"")</f>
        <v/>
      </c>
      <c r="V102" s="3">
        <f>'_Настройки'!$B$4</f>
        <v/>
      </c>
      <c r="Z102" s="4">
        <f>IF(AND(W102&gt;0;X102&gt;0;Y102&gt;0);W102*X102*Y102/1000;"")</f>
        <v/>
      </c>
      <c r="AB102" s="2">
        <f>('_Настройки'!$B$6+MAX(0;Z102-1)*'_Настройки'!$B$7)*IF(AA102&gt;0;AA102;'_Настройки'!$B$10)</f>
        <v/>
      </c>
      <c r="AC102" s="2">
        <f>AB102*(1+'_Настройки'!$B$8)</f>
        <v/>
      </c>
      <c r="AD102" s="3">
        <f>'_Настройки'!$B$2</f>
        <v/>
      </c>
      <c r="AE102" s="2">
        <f>L102*AD102</f>
        <v/>
      </c>
      <c r="AF102" s="3">
        <f>'_Настройки'!$B$3</f>
        <v/>
      </c>
      <c r="AG102" s="3">
        <f>IFERROR(INDEX('_Комиссия_ВБ'!$B:$B;MATCH(C102;'_Комиссия_ВБ'!$A:$A;0));0,245)</f>
        <v/>
      </c>
      <c r="AH102" s="3">
        <f>AG102+AF102</f>
        <v/>
      </c>
      <c r="AI102" s="2">
        <f>L102*AH102</f>
        <v/>
      </c>
      <c r="AJ102" s="3">
        <f>IFERROR(INDEX('_Комиссия_ВБ'!$C:$C;MATCH(C102;'_Комиссия_ВБ'!$A:$A;0));0,28)</f>
        <v/>
      </c>
      <c r="AK102" s="3">
        <f>AJ102+AF102</f>
        <v/>
      </c>
      <c r="AL102" s="2">
        <f>L102*AK102</f>
        <v/>
      </c>
      <c r="AM102" s="2" t="n"/>
      <c r="AO102" s="3">
        <f>'_Настройки'!$B$5</f>
        <v/>
      </c>
      <c r="AP102" s="2">
        <f>IF(K102&gt;0;K102*AO102;0)</f>
        <v/>
      </c>
      <c r="AQ102" s="2">
        <f>L102-K102-AI102-AE102-IF(AM102&gt;0;AM102;'_Настройки'!$B$9)-AP102-AC102</f>
        <v/>
      </c>
      <c r="AR102" s="3">
        <f>IF(L102&gt;0;AQ102/L102;"")</f>
        <v/>
      </c>
      <c r="AS102" s="3">
        <f>IF(K102&gt;0;AQ102/K102;"")</f>
        <v/>
      </c>
      <c r="AT102" s="2">
        <f>L102-K102-AL102-AE102-IF(AM102&gt;0;AM102;'_Настройки'!$B$9)-AP102-AC102</f>
        <v/>
      </c>
      <c r="AU102" s="3">
        <f>IF(L102&gt;0;AT102/L102;"")</f>
        <v/>
      </c>
      <c r="AV102" s="3">
        <f>IF(K102&gt;0;AT102/K102;"")</f>
        <v/>
      </c>
    </row>
    <row r="103">
      <c r="A103">
        <f>ROW()-1</f>
        <v/>
      </c>
      <c r="K103" s="2">
        <f>IFERROR(INDEX('_Цены_закупки'!$B:$B;MATCH(C103;'_Цены_закупки'!$A:$A;0));"")</f>
        <v/>
      </c>
      <c r="L103" s="2" t="n"/>
      <c r="M103" s="2" t="n"/>
      <c r="N103" s="3">
        <f>IF(AND(M103&gt;0;L103&gt;0);1-L103/M103;"")</f>
        <v/>
      </c>
      <c r="O103" s="2">
        <f>IF(OR(Q103="";K103=0);"";(K103+IF(AM103&gt;0;AM103;'_Настройки'!$B$9)+AP103+AC103+Q103*K103)/(1-AH103-AD103))</f>
        <v/>
      </c>
      <c r="P103" s="2">
        <f>IF(O103="";"";O103-K103-O103*AH103-O103*AD103-IF(AM103&gt;0;AM103;'_Настройки'!$B$9)-AP103-AC103)</f>
        <v/>
      </c>
      <c r="Q103" s="3">
        <f>IF(AND(O103&gt;0;K103&gt;0);P103/K103;"")</f>
        <v/>
      </c>
      <c r="R103" s="2">
        <f>IF(O103="";"";O103-K103-O103*AK103-O103*AD103-IF(AM103&gt;0;AM103;'_Настройки'!$B$9)-AP103-AC103)</f>
        <v/>
      </c>
      <c r="S103" s="3">
        <f>IF(AND(O103&gt;0;K103&gt;0);R103/K103;"")</f>
        <v/>
      </c>
      <c r="T103" s="2" t="n"/>
      <c r="U103" s="3">
        <f>IF(AND(L103&gt;0;T103&gt;0);1-T103/L103;"")</f>
        <v/>
      </c>
      <c r="V103" s="3">
        <f>'_Настройки'!$B$4</f>
        <v/>
      </c>
      <c r="Z103" s="4">
        <f>IF(AND(W103&gt;0;X103&gt;0;Y103&gt;0);W103*X103*Y103/1000;"")</f>
        <v/>
      </c>
      <c r="AB103" s="2">
        <f>('_Настройки'!$B$6+MAX(0;Z103-1)*'_Настройки'!$B$7)*IF(AA103&gt;0;AA103;'_Настройки'!$B$10)</f>
        <v/>
      </c>
      <c r="AC103" s="2">
        <f>AB103*(1+'_Настройки'!$B$8)</f>
        <v/>
      </c>
      <c r="AD103" s="3">
        <f>'_Настройки'!$B$2</f>
        <v/>
      </c>
      <c r="AE103" s="2">
        <f>L103*AD103</f>
        <v/>
      </c>
      <c r="AF103" s="3">
        <f>'_Настройки'!$B$3</f>
        <v/>
      </c>
      <c r="AG103" s="3">
        <f>IFERROR(INDEX('_Комиссия_ВБ'!$B:$B;MATCH(C103;'_Комиссия_ВБ'!$A:$A;0));0,245)</f>
        <v/>
      </c>
      <c r="AH103" s="3">
        <f>AG103+AF103</f>
        <v/>
      </c>
      <c r="AI103" s="2">
        <f>L103*AH103</f>
        <v/>
      </c>
      <c r="AJ103" s="3">
        <f>IFERROR(INDEX('_Комиссия_ВБ'!$C:$C;MATCH(C103;'_Комиссия_ВБ'!$A:$A;0));0,28)</f>
        <v/>
      </c>
      <c r="AK103" s="3">
        <f>AJ103+AF103</f>
        <v/>
      </c>
      <c r="AL103" s="2">
        <f>L103*AK103</f>
        <v/>
      </c>
      <c r="AM103" s="2" t="n"/>
      <c r="AO103" s="3">
        <f>'_Настройки'!$B$5</f>
        <v/>
      </c>
      <c r="AP103" s="2">
        <f>IF(K103&gt;0;K103*AO103;0)</f>
        <v/>
      </c>
      <c r="AQ103" s="2">
        <f>L103-K103-AI103-AE103-IF(AM103&gt;0;AM103;'_Настройки'!$B$9)-AP103-AC103</f>
        <v/>
      </c>
      <c r="AR103" s="3">
        <f>IF(L103&gt;0;AQ103/L103;"")</f>
        <v/>
      </c>
      <c r="AS103" s="3">
        <f>IF(K103&gt;0;AQ103/K103;"")</f>
        <v/>
      </c>
      <c r="AT103" s="2">
        <f>L103-K103-AL103-AE103-IF(AM103&gt;0;AM103;'_Настройки'!$B$9)-AP103-AC103</f>
        <v/>
      </c>
      <c r="AU103" s="3">
        <f>IF(L103&gt;0;AT103/L103;"")</f>
        <v/>
      </c>
      <c r="AV103" s="3">
        <f>IF(K103&gt;0;AT103/K103;"")</f>
        <v/>
      </c>
    </row>
    <row r="104">
      <c r="A104">
        <f>ROW()-1</f>
        <v/>
      </c>
      <c r="K104" s="2">
        <f>IFERROR(INDEX('_Цены_закупки'!$B:$B;MATCH(C104;'_Цены_закупки'!$A:$A;0));"")</f>
        <v/>
      </c>
      <c r="L104" s="2" t="n"/>
      <c r="M104" s="2" t="n"/>
      <c r="N104" s="3">
        <f>IF(AND(M104&gt;0;L104&gt;0);1-L104/M104;"")</f>
        <v/>
      </c>
      <c r="O104" s="2">
        <f>IF(OR(Q104="";K104=0);"";(K104+IF(AM104&gt;0;AM104;'_Настройки'!$B$9)+AP104+AC104+Q104*K104)/(1-AH104-AD104))</f>
        <v/>
      </c>
      <c r="P104" s="2">
        <f>IF(O104="";"";O104-K104-O104*AH104-O104*AD104-IF(AM104&gt;0;AM104;'_Настройки'!$B$9)-AP104-AC104)</f>
        <v/>
      </c>
      <c r="Q104" s="3">
        <f>IF(AND(O104&gt;0;K104&gt;0);P104/K104;"")</f>
        <v/>
      </c>
      <c r="R104" s="2">
        <f>IF(O104="";"";O104-K104-O104*AK104-O104*AD104-IF(AM104&gt;0;AM104;'_Настройки'!$B$9)-AP104-AC104)</f>
        <v/>
      </c>
      <c r="S104" s="3">
        <f>IF(AND(O104&gt;0;K104&gt;0);R104/K104;"")</f>
        <v/>
      </c>
      <c r="T104" s="2" t="n"/>
      <c r="U104" s="3">
        <f>IF(AND(L104&gt;0;T104&gt;0);1-T104/L104;"")</f>
        <v/>
      </c>
      <c r="V104" s="3">
        <f>'_Настройки'!$B$4</f>
        <v/>
      </c>
      <c r="Z104" s="4">
        <f>IF(AND(W104&gt;0;X104&gt;0;Y104&gt;0);W104*X104*Y104/1000;"")</f>
        <v/>
      </c>
      <c r="AB104" s="2">
        <f>('_Настройки'!$B$6+MAX(0;Z104-1)*'_Настройки'!$B$7)*IF(AA104&gt;0;AA104;'_Настройки'!$B$10)</f>
        <v/>
      </c>
      <c r="AC104" s="2">
        <f>AB104*(1+'_Настройки'!$B$8)</f>
        <v/>
      </c>
      <c r="AD104" s="3">
        <f>'_Настройки'!$B$2</f>
        <v/>
      </c>
      <c r="AE104" s="2">
        <f>L104*AD104</f>
        <v/>
      </c>
      <c r="AF104" s="3">
        <f>'_Настройки'!$B$3</f>
        <v/>
      </c>
      <c r="AG104" s="3">
        <f>IFERROR(INDEX('_Комиссия_ВБ'!$B:$B;MATCH(C104;'_Комиссия_ВБ'!$A:$A;0));0,245)</f>
        <v/>
      </c>
      <c r="AH104" s="3">
        <f>AG104+AF104</f>
        <v/>
      </c>
      <c r="AI104" s="2">
        <f>L104*AH104</f>
        <v/>
      </c>
      <c r="AJ104" s="3">
        <f>IFERROR(INDEX('_Комиссия_ВБ'!$C:$C;MATCH(C104;'_Комиссия_ВБ'!$A:$A;0));0,28)</f>
        <v/>
      </c>
      <c r="AK104" s="3">
        <f>AJ104+AF104</f>
        <v/>
      </c>
      <c r="AL104" s="2">
        <f>L104*AK104</f>
        <v/>
      </c>
      <c r="AM104" s="2" t="n"/>
      <c r="AO104" s="3">
        <f>'_Настройки'!$B$5</f>
        <v/>
      </c>
      <c r="AP104" s="2">
        <f>IF(K104&gt;0;K104*AO104;0)</f>
        <v/>
      </c>
      <c r="AQ104" s="2">
        <f>L104-K104-AI104-AE104-IF(AM104&gt;0;AM104;'_Настройки'!$B$9)-AP104-AC104</f>
        <v/>
      </c>
      <c r="AR104" s="3">
        <f>IF(L104&gt;0;AQ104/L104;"")</f>
        <v/>
      </c>
      <c r="AS104" s="3">
        <f>IF(K104&gt;0;AQ104/K104;"")</f>
        <v/>
      </c>
      <c r="AT104" s="2">
        <f>L104-K104-AL104-AE104-IF(AM104&gt;0;AM104;'_Настройки'!$B$9)-AP104-AC104</f>
        <v/>
      </c>
      <c r="AU104" s="3">
        <f>IF(L104&gt;0;AT104/L104;"")</f>
        <v/>
      </c>
      <c r="AV104" s="3">
        <f>IF(K104&gt;0;AT104/K104;"")</f>
        <v/>
      </c>
    </row>
    <row r="105">
      <c r="A105">
        <f>ROW()-1</f>
        <v/>
      </c>
      <c r="K105" s="2">
        <f>IFERROR(INDEX('_Цены_закупки'!$B:$B;MATCH(C105;'_Цены_закупки'!$A:$A;0));"")</f>
        <v/>
      </c>
      <c r="L105" s="2" t="n"/>
      <c r="M105" s="2" t="n"/>
      <c r="N105" s="3">
        <f>IF(AND(M105&gt;0;L105&gt;0);1-L105/M105;"")</f>
        <v/>
      </c>
      <c r="O105" s="2">
        <f>IF(OR(Q105="";K105=0);"";(K105+IF(AM105&gt;0;AM105;'_Настройки'!$B$9)+AP105+AC105+Q105*K105)/(1-AH105-AD105))</f>
        <v/>
      </c>
      <c r="P105" s="2">
        <f>IF(O105="";"";O105-K105-O105*AH105-O105*AD105-IF(AM105&gt;0;AM105;'_Настройки'!$B$9)-AP105-AC105)</f>
        <v/>
      </c>
      <c r="Q105" s="3">
        <f>IF(AND(O105&gt;0;K105&gt;0);P105/K105;"")</f>
        <v/>
      </c>
      <c r="R105" s="2">
        <f>IF(O105="";"";O105-K105-O105*AK105-O105*AD105-IF(AM105&gt;0;AM105;'_Настройки'!$B$9)-AP105-AC105)</f>
        <v/>
      </c>
      <c r="S105" s="3">
        <f>IF(AND(O105&gt;0;K105&gt;0);R105/K105;"")</f>
        <v/>
      </c>
      <c r="T105" s="2" t="n"/>
      <c r="U105" s="3">
        <f>IF(AND(L105&gt;0;T105&gt;0);1-T105/L105;"")</f>
        <v/>
      </c>
      <c r="V105" s="3">
        <f>'_Настройки'!$B$4</f>
        <v/>
      </c>
      <c r="Z105" s="4">
        <f>IF(AND(W105&gt;0;X105&gt;0;Y105&gt;0);W105*X105*Y105/1000;"")</f>
        <v/>
      </c>
      <c r="AB105" s="2">
        <f>('_Настройки'!$B$6+MAX(0;Z105-1)*'_Настройки'!$B$7)*IF(AA105&gt;0;AA105;'_Настройки'!$B$10)</f>
        <v/>
      </c>
      <c r="AC105" s="2">
        <f>AB105*(1+'_Настройки'!$B$8)</f>
        <v/>
      </c>
      <c r="AD105" s="3">
        <f>'_Настройки'!$B$2</f>
        <v/>
      </c>
      <c r="AE105" s="2">
        <f>L105*AD105</f>
        <v/>
      </c>
      <c r="AF105" s="3">
        <f>'_Настройки'!$B$3</f>
        <v/>
      </c>
      <c r="AG105" s="3">
        <f>IFERROR(INDEX('_Комиссия_ВБ'!$B:$B;MATCH(C105;'_Комиссия_ВБ'!$A:$A;0));0,245)</f>
        <v/>
      </c>
      <c r="AH105" s="3">
        <f>AG105+AF105</f>
        <v/>
      </c>
      <c r="AI105" s="2">
        <f>L105*AH105</f>
        <v/>
      </c>
      <c r="AJ105" s="3">
        <f>IFERROR(INDEX('_Комиссия_ВБ'!$C:$C;MATCH(C105;'_Комиссия_ВБ'!$A:$A;0));0,28)</f>
        <v/>
      </c>
      <c r="AK105" s="3">
        <f>AJ105+AF105</f>
        <v/>
      </c>
      <c r="AL105" s="2">
        <f>L105*AK105</f>
        <v/>
      </c>
      <c r="AM105" s="2" t="n"/>
      <c r="AO105" s="3">
        <f>'_Настройки'!$B$5</f>
        <v/>
      </c>
      <c r="AP105" s="2">
        <f>IF(K105&gt;0;K105*AO105;0)</f>
        <v/>
      </c>
      <c r="AQ105" s="2">
        <f>L105-K105-AI105-AE105-IF(AM105&gt;0;AM105;'_Настройки'!$B$9)-AP105-AC105</f>
        <v/>
      </c>
      <c r="AR105" s="3">
        <f>IF(L105&gt;0;AQ105/L105;"")</f>
        <v/>
      </c>
      <c r="AS105" s="3">
        <f>IF(K105&gt;0;AQ105/K105;"")</f>
        <v/>
      </c>
      <c r="AT105" s="2">
        <f>L105-K105-AL105-AE105-IF(AM105&gt;0;AM105;'_Настройки'!$B$9)-AP105-AC105</f>
        <v/>
      </c>
      <c r="AU105" s="3">
        <f>IF(L105&gt;0;AT105/L105;"")</f>
        <v/>
      </c>
      <c r="AV105" s="3">
        <f>IF(K105&gt;0;AT105/K105;"")</f>
        <v/>
      </c>
    </row>
    <row r="106">
      <c r="A106">
        <f>ROW()-1</f>
        <v/>
      </c>
      <c r="K106" s="2">
        <f>IFERROR(INDEX('_Цены_закупки'!$B:$B;MATCH(C106;'_Цены_закупки'!$A:$A;0));"")</f>
        <v/>
      </c>
      <c r="L106" s="2" t="n"/>
      <c r="M106" s="2" t="n"/>
      <c r="N106" s="3">
        <f>IF(AND(M106&gt;0;L106&gt;0);1-L106/M106;"")</f>
        <v/>
      </c>
      <c r="O106" s="2">
        <f>IF(OR(Q106="";K106=0);"";(K106+IF(AM106&gt;0;AM106;'_Настройки'!$B$9)+AP106+AC106+Q106*K106)/(1-AH106-AD106))</f>
        <v/>
      </c>
      <c r="P106" s="2">
        <f>IF(O106="";"";O106-K106-O106*AH106-O106*AD106-IF(AM106&gt;0;AM106;'_Настройки'!$B$9)-AP106-AC106)</f>
        <v/>
      </c>
      <c r="Q106" s="3">
        <f>IF(AND(O106&gt;0;K106&gt;0);P106/K106;"")</f>
        <v/>
      </c>
      <c r="R106" s="2">
        <f>IF(O106="";"";O106-K106-O106*AK106-O106*AD106-IF(AM106&gt;0;AM106;'_Настройки'!$B$9)-AP106-AC106)</f>
        <v/>
      </c>
      <c r="S106" s="3">
        <f>IF(AND(O106&gt;0;K106&gt;0);R106/K106;"")</f>
        <v/>
      </c>
      <c r="T106" s="2" t="n"/>
      <c r="U106" s="3">
        <f>IF(AND(L106&gt;0;T106&gt;0);1-T106/L106;"")</f>
        <v/>
      </c>
      <c r="V106" s="3">
        <f>'_Настройки'!$B$4</f>
        <v/>
      </c>
      <c r="Z106" s="4">
        <f>IF(AND(W106&gt;0;X106&gt;0;Y106&gt;0);W106*X106*Y106/1000;"")</f>
        <v/>
      </c>
      <c r="AB106" s="2">
        <f>('_Настройки'!$B$6+MAX(0;Z106-1)*'_Настройки'!$B$7)*IF(AA106&gt;0;AA106;'_Настройки'!$B$10)</f>
        <v/>
      </c>
      <c r="AC106" s="2">
        <f>AB106*(1+'_Настройки'!$B$8)</f>
        <v/>
      </c>
      <c r="AD106" s="3">
        <f>'_Настройки'!$B$2</f>
        <v/>
      </c>
      <c r="AE106" s="2">
        <f>L106*AD106</f>
        <v/>
      </c>
      <c r="AF106" s="3">
        <f>'_Настройки'!$B$3</f>
        <v/>
      </c>
      <c r="AG106" s="3">
        <f>IFERROR(INDEX('_Комиссия_ВБ'!$B:$B;MATCH(C106;'_Комиссия_ВБ'!$A:$A;0));0,245)</f>
        <v/>
      </c>
      <c r="AH106" s="3">
        <f>AG106+AF106</f>
        <v/>
      </c>
      <c r="AI106" s="2">
        <f>L106*AH106</f>
        <v/>
      </c>
      <c r="AJ106" s="3">
        <f>IFERROR(INDEX('_Комиссия_ВБ'!$C:$C;MATCH(C106;'_Комиссия_ВБ'!$A:$A;0));0,28)</f>
        <v/>
      </c>
      <c r="AK106" s="3">
        <f>AJ106+AF106</f>
        <v/>
      </c>
      <c r="AL106" s="2">
        <f>L106*AK106</f>
        <v/>
      </c>
      <c r="AM106" s="2" t="n"/>
      <c r="AO106" s="3">
        <f>'_Настройки'!$B$5</f>
        <v/>
      </c>
      <c r="AP106" s="2">
        <f>IF(K106&gt;0;K106*AO106;0)</f>
        <v/>
      </c>
      <c r="AQ106" s="2">
        <f>L106-K106-AI106-AE106-IF(AM106&gt;0;AM106;'_Настройки'!$B$9)-AP106-AC106</f>
        <v/>
      </c>
      <c r="AR106" s="3">
        <f>IF(L106&gt;0;AQ106/L106;"")</f>
        <v/>
      </c>
      <c r="AS106" s="3">
        <f>IF(K106&gt;0;AQ106/K106;"")</f>
        <v/>
      </c>
      <c r="AT106" s="2">
        <f>L106-K106-AL106-AE106-IF(AM106&gt;0;AM106;'_Настройки'!$B$9)-AP106-AC106</f>
        <v/>
      </c>
      <c r="AU106" s="3">
        <f>IF(L106&gt;0;AT106/L106;"")</f>
        <v/>
      </c>
      <c r="AV106" s="3">
        <f>IF(K106&gt;0;AT106/K106;"")</f>
        <v/>
      </c>
    </row>
    <row r="107">
      <c r="A107">
        <f>ROW()-1</f>
        <v/>
      </c>
      <c r="K107" s="2">
        <f>IFERROR(INDEX('_Цены_закупки'!$B:$B;MATCH(C107;'_Цены_закупки'!$A:$A;0));"")</f>
        <v/>
      </c>
      <c r="L107" s="2" t="n"/>
      <c r="M107" s="2" t="n"/>
      <c r="N107" s="3">
        <f>IF(AND(M107&gt;0;L107&gt;0);1-L107/M107;"")</f>
        <v/>
      </c>
      <c r="O107" s="2">
        <f>IF(OR(Q107="";K107=0);"";(K107+IF(AM107&gt;0;AM107;'_Настройки'!$B$9)+AP107+AC107+Q107*K107)/(1-AH107-AD107))</f>
        <v/>
      </c>
      <c r="P107" s="2">
        <f>IF(O107="";"";O107-K107-O107*AH107-O107*AD107-IF(AM107&gt;0;AM107;'_Настройки'!$B$9)-AP107-AC107)</f>
        <v/>
      </c>
      <c r="Q107" s="3">
        <f>IF(AND(O107&gt;0;K107&gt;0);P107/K107;"")</f>
        <v/>
      </c>
      <c r="R107" s="2">
        <f>IF(O107="";"";O107-K107-O107*AK107-O107*AD107-IF(AM107&gt;0;AM107;'_Настройки'!$B$9)-AP107-AC107)</f>
        <v/>
      </c>
      <c r="S107" s="3">
        <f>IF(AND(O107&gt;0;K107&gt;0);R107/K107;"")</f>
        <v/>
      </c>
      <c r="T107" s="2" t="n"/>
      <c r="U107" s="3">
        <f>IF(AND(L107&gt;0;T107&gt;0);1-T107/L107;"")</f>
        <v/>
      </c>
      <c r="V107" s="3">
        <f>'_Настройки'!$B$4</f>
        <v/>
      </c>
      <c r="Z107" s="4">
        <f>IF(AND(W107&gt;0;X107&gt;0;Y107&gt;0);W107*X107*Y107/1000;"")</f>
        <v/>
      </c>
      <c r="AB107" s="2">
        <f>('_Настройки'!$B$6+MAX(0;Z107-1)*'_Настройки'!$B$7)*IF(AA107&gt;0;AA107;'_Настройки'!$B$10)</f>
        <v/>
      </c>
      <c r="AC107" s="2">
        <f>AB107*(1+'_Настройки'!$B$8)</f>
        <v/>
      </c>
      <c r="AD107" s="3">
        <f>'_Настройки'!$B$2</f>
        <v/>
      </c>
      <c r="AE107" s="2">
        <f>L107*AD107</f>
        <v/>
      </c>
      <c r="AF107" s="3">
        <f>'_Настройки'!$B$3</f>
        <v/>
      </c>
      <c r="AG107" s="3">
        <f>IFERROR(INDEX('_Комиссия_ВБ'!$B:$B;MATCH(C107;'_Комиссия_ВБ'!$A:$A;0));0,245)</f>
        <v/>
      </c>
      <c r="AH107" s="3">
        <f>AG107+AF107</f>
        <v/>
      </c>
      <c r="AI107" s="2">
        <f>L107*AH107</f>
        <v/>
      </c>
      <c r="AJ107" s="3">
        <f>IFERROR(INDEX('_Комиссия_ВБ'!$C:$C;MATCH(C107;'_Комиссия_ВБ'!$A:$A;0));0,28)</f>
        <v/>
      </c>
      <c r="AK107" s="3">
        <f>AJ107+AF107</f>
        <v/>
      </c>
      <c r="AL107" s="2">
        <f>L107*AK107</f>
        <v/>
      </c>
      <c r="AM107" s="2" t="n"/>
      <c r="AO107" s="3">
        <f>'_Настройки'!$B$5</f>
        <v/>
      </c>
      <c r="AP107" s="2">
        <f>IF(K107&gt;0;K107*AO107;0)</f>
        <v/>
      </c>
      <c r="AQ107" s="2">
        <f>L107-K107-AI107-AE107-IF(AM107&gt;0;AM107;'_Настройки'!$B$9)-AP107-AC107</f>
        <v/>
      </c>
      <c r="AR107" s="3">
        <f>IF(L107&gt;0;AQ107/L107;"")</f>
        <v/>
      </c>
      <c r="AS107" s="3">
        <f>IF(K107&gt;0;AQ107/K107;"")</f>
        <v/>
      </c>
      <c r="AT107" s="2">
        <f>L107-K107-AL107-AE107-IF(AM107&gt;0;AM107;'_Настройки'!$B$9)-AP107-AC107</f>
        <v/>
      </c>
      <c r="AU107" s="3">
        <f>IF(L107&gt;0;AT107/L107;"")</f>
        <v/>
      </c>
      <c r="AV107" s="3">
        <f>IF(K107&gt;0;AT107/K107;"")</f>
        <v/>
      </c>
    </row>
    <row r="108">
      <c r="A108">
        <f>ROW()-1</f>
        <v/>
      </c>
      <c r="K108" s="2">
        <f>IFERROR(INDEX('_Цены_закупки'!$B:$B;MATCH(C108;'_Цены_закупки'!$A:$A;0));"")</f>
        <v/>
      </c>
      <c r="L108" s="2" t="n"/>
      <c r="M108" s="2" t="n"/>
      <c r="N108" s="3">
        <f>IF(AND(M108&gt;0;L108&gt;0);1-L108/M108;"")</f>
        <v/>
      </c>
      <c r="O108" s="2">
        <f>IF(OR(Q108="";K108=0);"";(K108+IF(AM108&gt;0;AM108;'_Настройки'!$B$9)+AP108+AC108+Q108*K108)/(1-AH108-AD108))</f>
        <v/>
      </c>
      <c r="P108" s="2">
        <f>IF(O108="";"";O108-K108-O108*AH108-O108*AD108-IF(AM108&gt;0;AM108;'_Настройки'!$B$9)-AP108-AC108)</f>
        <v/>
      </c>
      <c r="Q108" s="3">
        <f>IF(AND(O108&gt;0;K108&gt;0);P108/K108;"")</f>
        <v/>
      </c>
      <c r="R108" s="2">
        <f>IF(O108="";"";O108-K108-O108*AK108-O108*AD108-IF(AM108&gt;0;AM108;'_Настройки'!$B$9)-AP108-AC108)</f>
        <v/>
      </c>
      <c r="S108" s="3">
        <f>IF(AND(O108&gt;0;K108&gt;0);R108/K108;"")</f>
        <v/>
      </c>
      <c r="T108" s="2" t="n"/>
      <c r="U108" s="3">
        <f>IF(AND(L108&gt;0;T108&gt;0);1-T108/L108;"")</f>
        <v/>
      </c>
      <c r="V108" s="3">
        <f>'_Настройки'!$B$4</f>
        <v/>
      </c>
      <c r="Z108" s="4">
        <f>IF(AND(W108&gt;0;X108&gt;0;Y108&gt;0);W108*X108*Y108/1000;"")</f>
        <v/>
      </c>
      <c r="AB108" s="2">
        <f>('_Настройки'!$B$6+MAX(0;Z108-1)*'_Настройки'!$B$7)*IF(AA108&gt;0;AA108;'_Настройки'!$B$10)</f>
        <v/>
      </c>
      <c r="AC108" s="2">
        <f>AB108*(1+'_Настройки'!$B$8)</f>
        <v/>
      </c>
      <c r="AD108" s="3">
        <f>'_Настройки'!$B$2</f>
        <v/>
      </c>
      <c r="AE108" s="2">
        <f>L108*AD108</f>
        <v/>
      </c>
      <c r="AF108" s="3">
        <f>'_Настройки'!$B$3</f>
        <v/>
      </c>
      <c r="AG108" s="3">
        <f>IFERROR(INDEX('_Комиссия_ВБ'!$B:$B;MATCH(C108;'_Комиссия_ВБ'!$A:$A;0));0,245)</f>
        <v/>
      </c>
      <c r="AH108" s="3">
        <f>AG108+AF108</f>
        <v/>
      </c>
      <c r="AI108" s="2">
        <f>L108*AH108</f>
        <v/>
      </c>
      <c r="AJ108" s="3">
        <f>IFERROR(INDEX('_Комиссия_ВБ'!$C:$C;MATCH(C108;'_Комиссия_ВБ'!$A:$A;0));0,28)</f>
        <v/>
      </c>
      <c r="AK108" s="3">
        <f>AJ108+AF108</f>
        <v/>
      </c>
      <c r="AL108" s="2">
        <f>L108*AK108</f>
        <v/>
      </c>
      <c r="AM108" s="2" t="n"/>
      <c r="AO108" s="3">
        <f>'_Настройки'!$B$5</f>
        <v/>
      </c>
      <c r="AP108" s="2">
        <f>IF(K108&gt;0;K108*AO108;0)</f>
        <v/>
      </c>
      <c r="AQ108" s="2">
        <f>L108-K108-AI108-AE108-IF(AM108&gt;0;AM108;'_Настройки'!$B$9)-AP108-AC108</f>
        <v/>
      </c>
      <c r="AR108" s="3">
        <f>IF(L108&gt;0;AQ108/L108;"")</f>
        <v/>
      </c>
      <c r="AS108" s="3">
        <f>IF(K108&gt;0;AQ108/K108;"")</f>
        <v/>
      </c>
      <c r="AT108" s="2">
        <f>L108-K108-AL108-AE108-IF(AM108&gt;0;AM108;'_Настройки'!$B$9)-AP108-AC108</f>
        <v/>
      </c>
      <c r="AU108" s="3">
        <f>IF(L108&gt;0;AT108/L108;"")</f>
        <v/>
      </c>
      <c r="AV108" s="3">
        <f>IF(K108&gt;0;AT108/K108;"")</f>
        <v/>
      </c>
    </row>
    <row r="109">
      <c r="A109">
        <f>ROW()-1</f>
        <v/>
      </c>
      <c r="K109" s="2">
        <f>IFERROR(INDEX('_Цены_закупки'!$B:$B;MATCH(C109;'_Цены_закупки'!$A:$A;0));"")</f>
        <v/>
      </c>
      <c r="L109" s="2" t="n"/>
      <c r="M109" s="2" t="n"/>
      <c r="N109" s="3">
        <f>IF(AND(M109&gt;0;L109&gt;0);1-L109/M109;"")</f>
        <v/>
      </c>
      <c r="O109" s="2">
        <f>IF(OR(Q109="";K109=0);"";(K109+IF(AM109&gt;0;AM109;'_Настройки'!$B$9)+AP109+AC109+Q109*K109)/(1-AH109-AD109))</f>
        <v/>
      </c>
      <c r="P109" s="2">
        <f>IF(O109="";"";O109-K109-O109*AH109-O109*AD109-IF(AM109&gt;0;AM109;'_Настройки'!$B$9)-AP109-AC109)</f>
        <v/>
      </c>
      <c r="Q109" s="3">
        <f>IF(AND(O109&gt;0;K109&gt;0);P109/K109;"")</f>
        <v/>
      </c>
      <c r="R109" s="2">
        <f>IF(O109="";"";O109-K109-O109*AK109-O109*AD109-IF(AM109&gt;0;AM109;'_Настройки'!$B$9)-AP109-AC109)</f>
        <v/>
      </c>
      <c r="S109" s="3">
        <f>IF(AND(O109&gt;0;K109&gt;0);R109/K109;"")</f>
        <v/>
      </c>
      <c r="T109" s="2" t="n"/>
      <c r="U109" s="3">
        <f>IF(AND(L109&gt;0;T109&gt;0);1-T109/L109;"")</f>
        <v/>
      </c>
      <c r="V109" s="3">
        <f>'_Настройки'!$B$4</f>
        <v/>
      </c>
      <c r="Z109" s="4">
        <f>IF(AND(W109&gt;0;X109&gt;0;Y109&gt;0);W109*X109*Y109/1000;"")</f>
        <v/>
      </c>
      <c r="AB109" s="2">
        <f>('_Настройки'!$B$6+MAX(0;Z109-1)*'_Настройки'!$B$7)*IF(AA109&gt;0;AA109;'_Настройки'!$B$10)</f>
        <v/>
      </c>
      <c r="AC109" s="2">
        <f>AB109*(1+'_Настройки'!$B$8)</f>
        <v/>
      </c>
      <c r="AD109" s="3">
        <f>'_Настройки'!$B$2</f>
        <v/>
      </c>
      <c r="AE109" s="2">
        <f>L109*AD109</f>
        <v/>
      </c>
      <c r="AF109" s="3">
        <f>'_Настройки'!$B$3</f>
        <v/>
      </c>
      <c r="AG109" s="3">
        <f>IFERROR(INDEX('_Комиссия_ВБ'!$B:$B;MATCH(C109;'_Комиссия_ВБ'!$A:$A;0));0,245)</f>
        <v/>
      </c>
      <c r="AH109" s="3">
        <f>AG109+AF109</f>
        <v/>
      </c>
      <c r="AI109" s="2">
        <f>L109*AH109</f>
        <v/>
      </c>
      <c r="AJ109" s="3">
        <f>IFERROR(INDEX('_Комиссия_ВБ'!$C:$C;MATCH(C109;'_Комиссия_ВБ'!$A:$A;0));0,28)</f>
        <v/>
      </c>
      <c r="AK109" s="3">
        <f>AJ109+AF109</f>
        <v/>
      </c>
      <c r="AL109" s="2">
        <f>L109*AK109</f>
        <v/>
      </c>
      <c r="AM109" s="2" t="n"/>
      <c r="AO109" s="3">
        <f>'_Настройки'!$B$5</f>
        <v/>
      </c>
      <c r="AP109" s="2">
        <f>IF(K109&gt;0;K109*AO109;0)</f>
        <v/>
      </c>
      <c r="AQ109" s="2">
        <f>L109-K109-AI109-AE109-IF(AM109&gt;0;AM109;'_Настройки'!$B$9)-AP109-AC109</f>
        <v/>
      </c>
      <c r="AR109" s="3">
        <f>IF(L109&gt;0;AQ109/L109;"")</f>
        <v/>
      </c>
      <c r="AS109" s="3">
        <f>IF(K109&gt;0;AQ109/K109;"")</f>
        <v/>
      </c>
      <c r="AT109" s="2">
        <f>L109-K109-AL109-AE109-IF(AM109&gt;0;AM109;'_Настройки'!$B$9)-AP109-AC109</f>
        <v/>
      </c>
      <c r="AU109" s="3">
        <f>IF(L109&gt;0;AT109/L109;"")</f>
        <v/>
      </c>
      <c r="AV109" s="3">
        <f>IF(K109&gt;0;AT109/K109;"")</f>
        <v/>
      </c>
    </row>
    <row r="110">
      <c r="A110">
        <f>ROW()-1</f>
        <v/>
      </c>
      <c r="K110" s="2">
        <f>IFERROR(INDEX('_Цены_закупки'!$B:$B;MATCH(C110;'_Цены_закупки'!$A:$A;0));"")</f>
        <v/>
      </c>
      <c r="L110" s="2" t="n"/>
      <c r="M110" s="2" t="n"/>
      <c r="N110" s="3">
        <f>IF(AND(M110&gt;0;L110&gt;0);1-L110/M110;"")</f>
        <v/>
      </c>
      <c r="O110" s="2">
        <f>IF(OR(Q110="";K110=0);"";(K110+IF(AM110&gt;0;AM110;'_Настройки'!$B$9)+AP110+AC110+Q110*K110)/(1-AH110-AD110))</f>
        <v/>
      </c>
      <c r="P110" s="2">
        <f>IF(O110="";"";O110-K110-O110*AH110-O110*AD110-IF(AM110&gt;0;AM110;'_Настройки'!$B$9)-AP110-AC110)</f>
        <v/>
      </c>
      <c r="Q110" s="3">
        <f>IF(AND(O110&gt;0;K110&gt;0);P110/K110;"")</f>
        <v/>
      </c>
      <c r="R110" s="2">
        <f>IF(O110="";"";O110-K110-O110*AK110-O110*AD110-IF(AM110&gt;0;AM110;'_Настройки'!$B$9)-AP110-AC110)</f>
        <v/>
      </c>
      <c r="S110" s="3">
        <f>IF(AND(O110&gt;0;K110&gt;0);R110/K110;"")</f>
        <v/>
      </c>
      <c r="T110" s="2" t="n"/>
      <c r="U110" s="3">
        <f>IF(AND(L110&gt;0;T110&gt;0);1-T110/L110;"")</f>
        <v/>
      </c>
      <c r="V110" s="3">
        <f>'_Настройки'!$B$4</f>
        <v/>
      </c>
      <c r="Z110" s="4">
        <f>IF(AND(W110&gt;0;X110&gt;0;Y110&gt;0);W110*X110*Y110/1000;"")</f>
        <v/>
      </c>
      <c r="AB110" s="2">
        <f>('_Настройки'!$B$6+MAX(0;Z110-1)*'_Настройки'!$B$7)*IF(AA110&gt;0;AA110;'_Настройки'!$B$10)</f>
        <v/>
      </c>
      <c r="AC110" s="2">
        <f>AB110*(1+'_Настройки'!$B$8)</f>
        <v/>
      </c>
      <c r="AD110" s="3">
        <f>'_Настройки'!$B$2</f>
        <v/>
      </c>
      <c r="AE110" s="2">
        <f>L110*AD110</f>
        <v/>
      </c>
      <c r="AF110" s="3">
        <f>'_Настройки'!$B$3</f>
        <v/>
      </c>
      <c r="AG110" s="3">
        <f>IFERROR(INDEX('_Комиссия_ВБ'!$B:$B;MATCH(C110;'_Комиссия_ВБ'!$A:$A;0));0,245)</f>
        <v/>
      </c>
      <c r="AH110" s="3">
        <f>AG110+AF110</f>
        <v/>
      </c>
      <c r="AI110" s="2">
        <f>L110*AH110</f>
        <v/>
      </c>
      <c r="AJ110" s="3">
        <f>IFERROR(INDEX('_Комиссия_ВБ'!$C:$C;MATCH(C110;'_Комиссия_ВБ'!$A:$A;0));0,28)</f>
        <v/>
      </c>
      <c r="AK110" s="3">
        <f>AJ110+AF110</f>
        <v/>
      </c>
      <c r="AL110" s="2">
        <f>L110*AK110</f>
        <v/>
      </c>
      <c r="AM110" s="2" t="n"/>
      <c r="AO110" s="3">
        <f>'_Настройки'!$B$5</f>
        <v/>
      </c>
      <c r="AP110" s="2">
        <f>IF(K110&gt;0;K110*AO110;0)</f>
        <v/>
      </c>
      <c r="AQ110" s="2">
        <f>L110-K110-AI110-AE110-IF(AM110&gt;0;AM110;'_Настройки'!$B$9)-AP110-AC110</f>
        <v/>
      </c>
      <c r="AR110" s="3">
        <f>IF(L110&gt;0;AQ110/L110;"")</f>
        <v/>
      </c>
      <c r="AS110" s="3">
        <f>IF(K110&gt;0;AQ110/K110;"")</f>
        <v/>
      </c>
      <c r="AT110" s="2">
        <f>L110-K110-AL110-AE110-IF(AM110&gt;0;AM110;'_Настройки'!$B$9)-AP110-AC110</f>
        <v/>
      </c>
      <c r="AU110" s="3">
        <f>IF(L110&gt;0;AT110/L110;"")</f>
        <v/>
      </c>
      <c r="AV110" s="3">
        <f>IF(K110&gt;0;AT110/K110;"")</f>
        <v/>
      </c>
    </row>
    <row r="111">
      <c r="A111">
        <f>ROW()-1</f>
        <v/>
      </c>
      <c r="K111" s="2">
        <f>IFERROR(INDEX('_Цены_закупки'!$B:$B;MATCH(C111;'_Цены_закупки'!$A:$A;0));"")</f>
        <v/>
      </c>
      <c r="L111" s="2" t="n"/>
      <c r="M111" s="2" t="n"/>
      <c r="N111" s="3">
        <f>IF(AND(M111&gt;0;L111&gt;0);1-L111/M111;"")</f>
        <v/>
      </c>
      <c r="O111" s="2">
        <f>IF(OR(Q111="";K111=0);"";(K111+IF(AM111&gt;0;AM111;'_Настройки'!$B$9)+AP111+AC111+Q111*K111)/(1-AH111-AD111))</f>
        <v/>
      </c>
      <c r="P111" s="2">
        <f>IF(O111="";"";O111-K111-O111*AH111-O111*AD111-IF(AM111&gt;0;AM111;'_Настройки'!$B$9)-AP111-AC111)</f>
        <v/>
      </c>
      <c r="Q111" s="3">
        <f>IF(AND(O111&gt;0;K111&gt;0);P111/K111;"")</f>
        <v/>
      </c>
      <c r="R111" s="2">
        <f>IF(O111="";"";O111-K111-O111*AK111-O111*AD111-IF(AM111&gt;0;AM111;'_Настройки'!$B$9)-AP111-AC111)</f>
        <v/>
      </c>
      <c r="S111" s="3">
        <f>IF(AND(O111&gt;0;K111&gt;0);R111/K111;"")</f>
        <v/>
      </c>
      <c r="T111" s="2" t="n"/>
      <c r="U111" s="3">
        <f>IF(AND(L111&gt;0;T111&gt;0);1-T111/L111;"")</f>
        <v/>
      </c>
      <c r="V111" s="3">
        <f>'_Настройки'!$B$4</f>
        <v/>
      </c>
      <c r="Z111" s="4">
        <f>IF(AND(W111&gt;0;X111&gt;0;Y111&gt;0);W111*X111*Y111/1000;"")</f>
        <v/>
      </c>
      <c r="AB111" s="2">
        <f>('_Настройки'!$B$6+MAX(0;Z111-1)*'_Настройки'!$B$7)*IF(AA111&gt;0;AA111;'_Настройки'!$B$10)</f>
        <v/>
      </c>
      <c r="AC111" s="2">
        <f>AB111*(1+'_Настройки'!$B$8)</f>
        <v/>
      </c>
      <c r="AD111" s="3">
        <f>'_Настройки'!$B$2</f>
        <v/>
      </c>
      <c r="AE111" s="2">
        <f>L111*AD111</f>
        <v/>
      </c>
      <c r="AF111" s="3">
        <f>'_Настройки'!$B$3</f>
        <v/>
      </c>
      <c r="AG111" s="3">
        <f>IFERROR(INDEX('_Комиссия_ВБ'!$B:$B;MATCH(C111;'_Комиссия_ВБ'!$A:$A;0));0,245)</f>
        <v/>
      </c>
      <c r="AH111" s="3">
        <f>AG111+AF111</f>
        <v/>
      </c>
      <c r="AI111" s="2">
        <f>L111*AH111</f>
        <v/>
      </c>
      <c r="AJ111" s="3">
        <f>IFERROR(INDEX('_Комиссия_ВБ'!$C:$C;MATCH(C111;'_Комиссия_ВБ'!$A:$A;0));0,28)</f>
        <v/>
      </c>
      <c r="AK111" s="3">
        <f>AJ111+AF111</f>
        <v/>
      </c>
      <c r="AL111" s="2">
        <f>L111*AK111</f>
        <v/>
      </c>
      <c r="AM111" s="2" t="n"/>
      <c r="AO111" s="3">
        <f>'_Настройки'!$B$5</f>
        <v/>
      </c>
      <c r="AP111" s="2">
        <f>IF(K111&gt;0;K111*AO111;0)</f>
        <v/>
      </c>
      <c r="AQ111" s="2">
        <f>L111-K111-AI111-AE111-IF(AM111&gt;0;AM111;'_Настройки'!$B$9)-AP111-AC111</f>
        <v/>
      </c>
      <c r="AR111" s="3">
        <f>IF(L111&gt;0;AQ111/L111;"")</f>
        <v/>
      </c>
      <c r="AS111" s="3">
        <f>IF(K111&gt;0;AQ111/K111;"")</f>
        <v/>
      </c>
      <c r="AT111" s="2">
        <f>L111-K111-AL111-AE111-IF(AM111&gt;0;AM111;'_Настройки'!$B$9)-AP111-AC111</f>
        <v/>
      </c>
      <c r="AU111" s="3">
        <f>IF(L111&gt;0;AT111/L111;"")</f>
        <v/>
      </c>
      <c r="AV111" s="3">
        <f>IF(K111&gt;0;AT111/K111;"")</f>
        <v/>
      </c>
    </row>
    <row r="112">
      <c r="A112">
        <f>ROW()-1</f>
        <v/>
      </c>
      <c r="K112" s="2">
        <f>IFERROR(INDEX('_Цены_закупки'!$B:$B;MATCH(C112;'_Цены_закупки'!$A:$A;0));"")</f>
        <v/>
      </c>
      <c r="L112" s="2" t="n"/>
      <c r="M112" s="2" t="n"/>
      <c r="N112" s="3">
        <f>IF(AND(M112&gt;0;L112&gt;0);1-L112/M112;"")</f>
        <v/>
      </c>
      <c r="O112" s="2">
        <f>IF(OR(Q112="";K112=0);"";(K112+IF(AM112&gt;0;AM112;'_Настройки'!$B$9)+AP112+AC112+Q112*K112)/(1-AH112-AD112))</f>
        <v/>
      </c>
      <c r="P112" s="2">
        <f>IF(O112="";"";O112-K112-O112*AH112-O112*AD112-IF(AM112&gt;0;AM112;'_Настройки'!$B$9)-AP112-AC112)</f>
        <v/>
      </c>
      <c r="Q112" s="3">
        <f>IF(AND(O112&gt;0;K112&gt;0);P112/K112;"")</f>
        <v/>
      </c>
      <c r="R112" s="2">
        <f>IF(O112="";"";O112-K112-O112*AK112-O112*AD112-IF(AM112&gt;0;AM112;'_Настройки'!$B$9)-AP112-AC112)</f>
        <v/>
      </c>
      <c r="S112" s="3">
        <f>IF(AND(O112&gt;0;K112&gt;0);R112/K112;"")</f>
        <v/>
      </c>
      <c r="T112" s="2" t="n"/>
      <c r="U112" s="3">
        <f>IF(AND(L112&gt;0;T112&gt;0);1-T112/L112;"")</f>
        <v/>
      </c>
      <c r="V112" s="3">
        <f>'_Настройки'!$B$4</f>
        <v/>
      </c>
      <c r="Z112" s="4">
        <f>IF(AND(W112&gt;0;X112&gt;0;Y112&gt;0);W112*X112*Y112/1000;"")</f>
        <v/>
      </c>
      <c r="AB112" s="2">
        <f>('_Настройки'!$B$6+MAX(0;Z112-1)*'_Настройки'!$B$7)*IF(AA112&gt;0;AA112;'_Настройки'!$B$10)</f>
        <v/>
      </c>
      <c r="AC112" s="2">
        <f>AB112*(1+'_Настройки'!$B$8)</f>
        <v/>
      </c>
      <c r="AD112" s="3">
        <f>'_Настройки'!$B$2</f>
        <v/>
      </c>
      <c r="AE112" s="2">
        <f>L112*AD112</f>
        <v/>
      </c>
      <c r="AF112" s="3">
        <f>'_Настройки'!$B$3</f>
        <v/>
      </c>
      <c r="AG112" s="3">
        <f>IFERROR(INDEX('_Комиссия_ВБ'!$B:$B;MATCH(C112;'_Комиссия_ВБ'!$A:$A;0));0,245)</f>
        <v/>
      </c>
      <c r="AH112" s="3">
        <f>AG112+AF112</f>
        <v/>
      </c>
      <c r="AI112" s="2">
        <f>L112*AH112</f>
        <v/>
      </c>
      <c r="AJ112" s="3">
        <f>IFERROR(INDEX('_Комиссия_ВБ'!$C:$C;MATCH(C112;'_Комиссия_ВБ'!$A:$A;0));0,28)</f>
        <v/>
      </c>
      <c r="AK112" s="3">
        <f>AJ112+AF112</f>
        <v/>
      </c>
      <c r="AL112" s="2">
        <f>L112*AK112</f>
        <v/>
      </c>
      <c r="AM112" s="2" t="n"/>
      <c r="AO112" s="3">
        <f>'_Настройки'!$B$5</f>
        <v/>
      </c>
      <c r="AP112" s="2">
        <f>IF(K112&gt;0;K112*AO112;0)</f>
        <v/>
      </c>
      <c r="AQ112" s="2">
        <f>L112-K112-AI112-AE112-IF(AM112&gt;0;AM112;'_Настройки'!$B$9)-AP112-AC112</f>
        <v/>
      </c>
      <c r="AR112" s="3">
        <f>IF(L112&gt;0;AQ112/L112;"")</f>
        <v/>
      </c>
      <c r="AS112" s="3">
        <f>IF(K112&gt;0;AQ112/K112;"")</f>
        <v/>
      </c>
      <c r="AT112" s="2">
        <f>L112-K112-AL112-AE112-IF(AM112&gt;0;AM112;'_Настройки'!$B$9)-AP112-AC112</f>
        <v/>
      </c>
      <c r="AU112" s="3">
        <f>IF(L112&gt;0;AT112/L112;"")</f>
        <v/>
      </c>
      <c r="AV112" s="3">
        <f>IF(K112&gt;0;AT112/K112;"")</f>
        <v/>
      </c>
    </row>
    <row r="113">
      <c r="A113">
        <f>ROW()-1</f>
        <v/>
      </c>
      <c r="K113" s="2">
        <f>IFERROR(INDEX('_Цены_закупки'!$B:$B;MATCH(C113;'_Цены_закупки'!$A:$A;0));"")</f>
        <v/>
      </c>
      <c r="L113" s="2" t="n"/>
      <c r="M113" s="2" t="n"/>
      <c r="N113" s="3">
        <f>IF(AND(M113&gt;0;L113&gt;0);1-L113/M113;"")</f>
        <v/>
      </c>
      <c r="O113" s="2">
        <f>IF(OR(Q113="";K113=0);"";(K113+IF(AM113&gt;0;AM113;'_Настройки'!$B$9)+AP113+AC113+Q113*K113)/(1-AH113-AD113))</f>
        <v/>
      </c>
      <c r="P113" s="2">
        <f>IF(O113="";"";O113-K113-O113*AH113-O113*AD113-IF(AM113&gt;0;AM113;'_Настройки'!$B$9)-AP113-AC113)</f>
        <v/>
      </c>
      <c r="Q113" s="3">
        <f>IF(AND(O113&gt;0;K113&gt;0);P113/K113;"")</f>
        <v/>
      </c>
      <c r="R113" s="2">
        <f>IF(O113="";"";O113-K113-O113*AK113-O113*AD113-IF(AM113&gt;0;AM113;'_Настройки'!$B$9)-AP113-AC113)</f>
        <v/>
      </c>
      <c r="S113" s="3">
        <f>IF(AND(O113&gt;0;K113&gt;0);R113/K113;"")</f>
        <v/>
      </c>
      <c r="T113" s="2" t="n"/>
      <c r="U113" s="3">
        <f>IF(AND(L113&gt;0;T113&gt;0);1-T113/L113;"")</f>
        <v/>
      </c>
      <c r="V113" s="3">
        <f>'_Настройки'!$B$4</f>
        <v/>
      </c>
      <c r="Z113" s="4">
        <f>IF(AND(W113&gt;0;X113&gt;0;Y113&gt;0);W113*X113*Y113/1000;"")</f>
        <v/>
      </c>
      <c r="AB113" s="2">
        <f>('_Настройки'!$B$6+MAX(0;Z113-1)*'_Настройки'!$B$7)*IF(AA113&gt;0;AA113;'_Настройки'!$B$10)</f>
        <v/>
      </c>
      <c r="AC113" s="2">
        <f>AB113*(1+'_Настройки'!$B$8)</f>
        <v/>
      </c>
      <c r="AD113" s="3">
        <f>'_Настройки'!$B$2</f>
        <v/>
      </c>
      <c r="AE113" s="2">
        <f>L113*AD113</f>
        <v/>
      </c>
      <c r="AF113" s="3">
        <f>'_Настройки'!$B$3</f>
        <v/>
      </c>
      <c r="AG113" s="3">
        <f>IFERROR(INDEX('_Комиссия_ВБ'!$B:$B;MATCH(C113;'_Комиссия_ВБ'!$A:$A;0));0,245)</f>
        <v/>
      </c>
      <c r="AH113" s="3">
        <f>AG113+AF113</f>
        <v/>
      </c>
      <c r="AI113" s="2">
        <f>L113*AH113</f>
        <v/>
      </c>
      <c r="AJ113" s="3">
        <f>IFERROR(INDEX('_Комиссия_ВБ'!$C:$C;MATCH(C113;'_Комиссия_ВБ'!$A:$A;0));0,28)</f>
        <v/>
      </c>
      <c r="AK113" s="3">
        <f>AJ113+AF113</f>
        <v/>
      </c>
      <c r="AL113" s="2">
        <f>L113*AK113</f>
        <v/>
      </c>
      <c r="AM113" s="2" t="n"/>
      <c r="AO113" s="3">
        <f>'_Настройки'!$B$5</f>
        <v/>
      </c>
      <c r="AP113" s="2">
        <f>IF(K113&gt;0;K113*AO113;0)</f>
        <v/>
      </c>
      <c r="AQ113" s="2">
        <f>L113-K113-AI113-AE113-IF(AM113&gt;0;AM113;'_Настройки'!$B$9)-AP113-AC113</f>
        <v/>
      </c>
      <c r="AR113" s="3">
        <f>IF(L113&gt;0;AQ113/L113;"")</f>
        <v/>
      </c>
      <c r="AS113" s="3">
        <f>IF(K113&gt;0;AQ113/K113;"")</f>
        <v/>
      </c>
      <c r="AT113" s="2">
        <f>L113-K113-AL113-AE113-IF(AM113&gt;0;AM113;'_Настройки'!$B$9)-AP113-AC113</f>
        <v/>
      </c>
      <c r="AU113" s="3">
        <f>IF(L113&gt;0;AT113/L113;"")</f>
        <v/>
      </c>
      <c r="AV113" s="3">
        <f>IF(K113&gt;0;AT113/K113;"")</f>
        <v/>
      </c>
    </row>
    <row r="114">
      <c r="A114">
        <f>ROW()-1</f>
        <v/>
      </c>
      <c r="K114" s="2">
        <f>IFERROR(INDEX('_Цены_закупки'!$B:$B;MATCH(C114;'_Цены_закупки'!$A:$A;0));"")</f>
        <v/>
      </c>
      <c r="L114" s="2" t="n"/>
      <c r="M114" s="2" t="n"/>
      <c r="N114" s="3">
        <f>IF(AND(M114&gt;0;L114&gt;0);1-L114/M114;"")</f>
        <v/>
      </c>
      <c r="O114" s="2">
        <f>IF(OR(Q114="";K114=0);"";(K114+IF(AM114&gt;0;AM114;'_Настройки'!$B$9)+AP114+AC114+Q114*K114)/(1-AH114-AD114))</f>
        <v/>
      </c>
      <c r="P114" s="2">
        <f>IF(O114="";"";O114-K114-O114*AH114-O114*AD114-IF(AM114&gt;0;AM114;'_Настройки'!$B$9)-AP114-AC114)</f>
        <v/>
      </c>
      <c r="Q114" s="3">
        <f>IF(AND(O114&gt;0;K114&gt;0);P114/K114;"")</f>
        <v/>
      </c>
      <c r="R114" s="2">
        <f>IF(O114="";"";O114-K114-O114*AK114-O114*AD114-IF(AM114&gt;0;AM114;'_Настройки'!$B$9)-AP114-AC114)</f>
        <v/>
      </c>
      <c r="S114" s="3">
        <f>IF(AND(O114&gt;0;K114&gt;0);R114/K114;"")</f>
        <v/>
      </c>
      <c r="T114" s="2" t="n"/>
      <c r="U114" s="3">
        <f>IF(AND(L114&gt;0;T114&gt;0);1-T114/L114;"")</f>
        <v/>
      </c>
      <c r="V114" s="3">
        <f>'_Настройки'!$B$4</f>
        <v/>
      </c>
      <c r="Z114" s="4">
        <f>IF(AND(W114&gt;0;X114&gt;0;Y114&gt;0);W114*X114*Y114/1000;"")</f>
        <v/>
      </c>
      <c r="AB114" s="2">
        <f>('_Настройки'!$B$6+MAX(0;Z114-1)*'_Настройки'!$B$7)*IF(AA114&gt;0;AA114;'_Настройки'!$B$10)</f>
        <v/>
      </c>
      <c r="AC114" s="2">
        <f>AB114*(1+'_Настройки'!$B$8)</f>
        <v/>
      </c>
      <c r="AD114" s="3">
        <f>'_Настройки'!$B$2</f>
        <v/>
      </c>
      <c r="AE114" s="2">
        <f>L114*AD114</f>
        <v/>
      </c>
      <c r="AF114" s="3">
        <f>'_Настройки'!$B$3</f>
        <v/>
      </c>
      <c r="AG114" s="3">
        <f>IFERROR(INDEX('_Комиссия_ВБ'!$B:$B;MATCH(C114;'_Комиссия_ВБ'!$A:$A;0));0,245)</f>
        <v/>
      </c>
      <c r="AH114" s="3">
        <f>AG114+AF114</f>
        <v/>
      </c>
      <c r="AI114" s="2">
        <f>L114*AH114</f>
        <v/>
      </c>
      <c r="AJ114" s="3">
        <f>IFERROR(INDEX('_Комиссия_ВБ'!$C:$C;MATCH(C114;'_Комиссия_ВБ'!$A:$A;0));0,28)</f>
        <v/>
      </c>
      <c r="AK114" s="3">
        <f>AJ114+AF114</f>
        <v/>
      </c>
      <c r="AL114" s="2">
        <f>L114*AK114</f>
        <v/>
      </c>
      <c r="AM114" s="2" t="n"/>
      <c r="AO114" s="3">
        <f>'_Настройки'!$B$5</f>
        <v/>
      </c>
      <c r="AP114" s="2">
        <f>IF(K114&gt;0;K114*AO114;0)</f>
        <v/>
      </c>
      <c r="AQ114" s="2">
        <f>L114-K114-AI114-AE114-IF(AM114&gt;0;AM114;'_Настройки'!$B$9)-AP114-AC114</f>
        <v/>
      </c>
      <c r="AR114" s="3">
        <f>IF(L114&gt;0;AQ114/L114;"")</f>
        <v/>
      </c>
      <c r="AS114" s="3">
        <f>IF(K114&gt;0;AQ114/K114;"")</f>
        <v/>
      </c>
      <c r="AT114" s="2">
        <f>L114-K114-AL114-AE114-IF(AM114&gt;0;AM114;'_Настройки'!$B$9)-AP114-AC114</f>
        <v/>
      </c>
      <c r="AU114" s="3">
        <f>IF(L114&gt;0;AT114/L114;"")</f>
        <v/>
      </c>
      <c r="AV114" s="3">
        <f>IF(K114&gt;0;AT114/K114;"")</f>
        <v/>
      </c>
    </row>
    <row r="115">
      <c r="A115">
        <f>ROW()-1</f>
        <v/>
      </c>
      <c r="K115" s="2">
        <f>IFERROR(INDEX('_Цены_закупки'!$B:$B;MATCH(C115;'_Цены_закупки'!$A:$A;0));"")</f>
        <v/>
      </c>
      <c r="L115" s="2" t="n"/>
      <c r="M115" s="2" t="n"/>
      <c r="N115" s="3">
        <f>IF(AND(M115&gt;0;L115&gt;0);1-L115/M115;"")</f>
        <v/>
      </c>
      <c r="O115" s="2">
        <f>IF(OR(Q115="";K115=0);"";(K115+IF(AM115&gt;0;AM115;'_Настройки'!$B$9)+AP115+AC115+Q115*K115)/(1-AH115-AD115))</f>
        <v/>
      </c>
      <c r="P115" s="2">
        <f>IF(O115="";"";O115-K115-O115*AH115-O115*AD115-IF(AM115&gt;0;AM115;'_Настройки'!$B$9)-AP115-AC115)</f>
        <v/>
      </c>
      <c r="Q115" s="3">
        <f>IF(AND(O115&gt;0;K115&gt;0);P115/K115;"")</f>
        <v/>
      </c>
      <c r="R115" s="2">
        <f>IF(O115="";"";O115-K115-O115*AK115-O115*AD115-IF(AM115&gt;0;AM115;'_Настройки'!$B$9)-AP115-AC115)</f>
        <v/>
      </c>
      <c r="S115" s="3">
        <f>IF(AND(O115&gt;0;K115&gt;0);R115/K115;"")</f>
        <v/>
      </c>
      <c r="T115" s="2" t="n"/>
      <c r="U115" s="3">
        <f>IF(AND(L115&gt;0;T115&gt;0);1-T115/L115;"")</f>
        <v/>
      </c>
      <c r="V115" s="3">
        <f>'_Настройки'!$B$4</f>
        <v/>
      </c>
      <c r="Z115" s="4">
        <f>IF(AND(W115&gt;0;X115&gt;0;Y115&gt;0);W115*X115*Y115/1000;"")</f>
        <v/>
      </c>
      <c r="AB115" s="2">
        <f>('_Настройки'!$B$6+MAX(0;Z115-1)*'_Настройки'!$B$7)*IF(AA115&gt;0;AA115;'_Настройки'!$B$10)</f>
        <v/>
      </c>
      <c r="AC115" s="2">
        <f>AB115*(1+'_Настройки'!$B$8)</f>
        <v/>
      </c>
      <c r="AD115" s="3">
        <f>'_Настройки'!$B$2</f>
        <v/>
      </c>
      <c r="AE115" s="2">
        <f>L115*AD115</f>
        <v/>
      </c>
      <c r="AF115" s="3">
        <f>'_Настройки'!$B$3</f>
        <v/>
      </c>
      <c r="AG115" s="3">
        <f>IFERROR(INDEX('_Комиссия_ВБ'!$B:$B;MATCH(C115;'_Комиссия_ВБ'!$A:$A;0));0,245)</f>
        <v/>
      </c>
      <c r="AH115" s="3">
        <f>AG115+AF115</f>
        <v/>
      </c>
      <c r="AI115" s="2">
        <f>L115*AH115</f>
        <v/>
      </c>
      <c r="AJ115" s="3">
        <f>IFERROR(INDEX('_Комиссия_ВБ'!$C:$C;MATCH(C115;'_Комиссия_ВБ'!$A:$A;0));0,28)</f>
        <v/>
      </c>
      <c r="AK115" s="3">
        <f>AJ115+AF115</f>
        <v/>
      </c>
      <c r="AL115" s="2">
        <f>L115*AK115</f>
        <v/>
      </c>
      <c r="AM115" s="2" t="n"/>
      <c r="AO115" s="3">
        <f>'_Настройки'!$B$5</f>
        <v/>
      </c>
      <c r="AP115" s="2">
        <f>IF(K115&gt;0;K115*AO115;0)</f>
        <v/>
      </c>
      <c r="AQ115" s="2">
        <f>L115-K115-AI115-AE115-IF(AM115&gt;0;AM115;'_Настройки'!$B$9)-AP115-AC115</f>
        <v/>
      </c>
      <c r="AR115" s="3">
        <f>IF(L115&gt;0;AQ115/L115;"")</f>
        <v/>
      </c>
      <c r="AS115" s="3">
        <f>IF(K115&gt;0;AQ115/K115;"")</f>
        <v/>
      </c>
      <c r="AT115" s="2">
        <f>L115-K115-AL115-AE115-IF(AM115&gt;0;AM115;'_Настройки'!$B$9)-AP115-AC115</f>
        <v/>
      </c>
      <c r="AU115" s="3">
        <f>IF(L115&gt;0;AT115/L115;"")</f>
        <v/>
      </c>
      <c r="AV115" s="3">
        <f>IF(K115&gt;0;AT115/K115;"")</f>
        <v/>
      </c>
    </row>
    <row r="116">
      <c r="A116">
        <f>ROW()-1</f>
        <v/>
      </c>
      <c r="K116" s="2">
        <f>IFERROR(INDEX('_Цены_закупки'!$B:$B;MATCH(C116;'_Цены_закупки'!$A:$A;0));"")</f>
        <v/>
      </c>
      <c r="L116" s="2" t="n"/>
      <c r="M116" s="2" t="n"/>
      <c r="N116" s="3">
        <f>IF(AND(M116&gt;0;L116&gt;0);1-L116/M116;"")</f>
        <v/>
      </c>
      <c r="O116" s="2">
        <f>IF(OR(Q116="";K116=0);"";(K116+IF(AM116&gt;0;AM116;'_Настройки'!$B$9)+AP116+AC116+Q116*K116)/(1-AH116-AD116))</f>
        <v/>
      </c>
      <c r="P116" s="2">
        <f>IF(O116="";"";O116-K116-O116*AH116-O116*AD116-IF(AM116&gt;0;AM116;'_Настройки'!$B$9)-AP116-AC116)</f>
        <v/>
      </c>
      <c r="Q116" s="3">
        <f>IF(AND(O116&gt;0;K116&gt;0);P116/K116;"")</f>
        <v/>
      </c>
      <c r="R116" s="2">
        <f>IF(O116="";"";O116-K116-O116*AK116-O116*AD116-IF(AM116&gt;0;AM116;'_Настройки'!$B$9)-AP116-AC116)</f>
        <v/>
      </c>
      <c r="S116" s="3">
        <f>IF(AND(O116&gt;0;K116&gt;0);R116/K116;"")</f>
        <v/>
      </c>
      <c r="T116" s="2" t="n"/>
      <c r="U116" s="3">
        <f>IF(AND(L116&gt;0;T116&gt;0);1-T116/L116;"")</f>
        <v/>
      </c>
      <c r="V116" s="3">
        <f>'_Настройки'!$B$4</f>
        <v/>
      </c>
      <c r="Z116" s="4">
        <f>IF(AND(W116&gt;0;X116&gt;0;Y116&gt;0);W116*X116*Y116/1000;"")</f>
        <v/>
      </c>
      <c r="AB116" s="2">
        <f>('_Настройки'!$B$6+MAX(0;Z116-1)*'_Настройки'!$B$7)*IF(AA116&gt;0;AA116;'_Настройки'!$B$10)</f>
        <v/>
      </c>
      <c r="AC116" s="2">
        <f>AB116*(1+'_Настройки'!$B$8)</f>
        <v/>
      </c>
      <c r="AD116" s="3">
        <f>'_Настройки'!$B$2</f>
        <v/>
      </c>
      <c r="AE116" s="2">
        <f>L116*AD116</f>
        <v/>
      </c>
      <c r="AF116" s="3">
        <f>'_Настройки'!$B$3</f>
        <v/>
      </c>
      <c r="AG116" s="3">
        <f>IFERROR(INDEX('_Комиссия_ВБ'!$B:$B;MATCH(C116;'_Комиссия_ВБ'!$A:$A;0));0,245)</f>
        <v/>
      </c>
      <c r="AH116" s="3">
        <f>AG116+AF116</f>
        <v/>
      </c>
      <c r="AI116" s="2">
        <f>L116*AH116</f>
        <v/>
      </c>
      <c r="AJ116" s="3">
        <f>IFERROR(INDEX('_Комиссия_ВБ'!$C:$C;MATCH(C116;'_Комиссия_ВБ'!$A:$A;0));0,28)</f>
        <v/>
      </c>
      <c r="AK116" s="3">
        <f>AJ116+AF116</f>
        <v/>
      </c>
      <c r="AL116" s="2">
        <f>L116*AK116</f>
        <v/>
      </c>
      <c r="AM116" s="2" t="n"/>
      <c r="AO116" s="3">
        <f>'_Настройки'!$B$5</f>
        <v/>
      </c>
      <c r="AP116" s="2">
        <f>IF(K116&gt;0;K116*AO116;0)</f>
        <v/>
      </c>
      <c r="AQ116" s="2">
        <f>L116-K116-AI116-AE116-IF(AM116&gt;0;AM116;'_Настройки'!$B$9)-AP116-AC116</f>
        <v/>
      </c>
      <c r="AR116" s="3">
        <f>IF(L116&gt;0;AQ116/L116;"")</f>
        <v/>
      </c>
      <c r="AS116" s="3">
        <f>IF(K116&gt;0;AQ116/K116;"")</f>
        <v/>
      </c>
      <c r="AT116" s="2">
        <f>L116-K116-AL116-AE116-IF(AM116&gt;0;AM116;'_Настройки'!$B$9)-AP116-AC116</f>
        <v/>
      </c>
      <c r="AU116" s="3">
        <f>IF(L116&gt;0;AT116/L116;"")</f>
        <v/>
      </c>
      <c r="AV116" s="3">
        <f>IF(K116&gt;0;AT116/K116;"")</f>
        <v/>
      </c>
    </row>
    <row r="117">
      <c r="A117">
        <f>ROW()-1</f>
        <v/>
      </c>
      <c r="K117" s="2">
        <f>IFERROR(INDEX('_Цены_закупки'!$B:$B;MATCH(C117;'_Цены_закупки'!$A:$A;0));"")</f>
        <v/>
      </c>
      <c r="L117" s="2" t="n"/>
      <c r="M117" s="2" t="n"/>
      <c r="N117" s="3">
        <f>IF(AND(M117&gt;0;L117&gt;0);1-L117/M117;"")</f>
        <v/>
      </c>
      <c r="O117" s="2">
        <f>IF(OR(Q117="";K117=0);"";(K117+IF(AM117&gt;0;AM117;'_Настройки'!$B$9)+AP117+AC117+Q117*K117)/(1-AH117-AD117))</f>
        <v/>
      </c>
      <c r="P117" s="2">
        <f>IF(O117="";"";O117-K117-O117*AH117-O117*AD117-IF(AM117&gt;0;AM117;'_Настройки'!$B$9)-AP117-AC117)</f>
        <v/>
      </c>
      <c r="Q117" s="3">
        <f>IF(AND(O117&gt;0;K117&gt;0);P117/K117;"")</f>
        <v/>
      </c>
      <c r="R117" s="2">
        <f>IF(O117="";"";O117-K117-O117*AK117-O117*AD117-IF(AM117&gt;0;AM117;'_Настройки'!$B$9)-AP117-AC117)</f>
        <v/>
      </c>
      <c r="S117" s="3">
        <f>IF(AND(O117&gt;0;K117&gt;0);R117/K117;"")</f>
        <v/>
      </c>
      <c r="T117" s="2" t="n"/>
      <c r="U117" s="3">
        <f>IF(AND(L117&gt;0;T117&gt;0);1-T117/L117;"")</f>
        <v/>
      </c>
      <c r="V117" s="3">
        <f>'_Настройки'!$B$4</f>
        <v/>
      </c>
      <c r="Z117" s="4">
        <f>IF(AND(W117&gt;0;X117&gt;0;Y117&gt;0);W117*X117*Y117/1000;"")</f>
        <v/>
      </c>
      <c r="AB117" s="2">
        <f>('_Настройки'!$B$6+MAX(0;Z117-1)*'_Настройки'!$B$7)*IF(AA117&gt;0;AA117;'_Настройки'!$B$10)</f>
        <v/>
      </c>
      <c r="AC117" s="2">
        <f>AB117*(1+'_Настройки'!$B$8)</f>
        <v/>
      </c>
      <c r="AD117" s="3">
        <f>'_Настройки'!$B$2</f>
        <v/>
      </c>
      <c r="AE117" s="2">
        <f>L117*AD117</f>
        <v/>
      </c>
      <c r="AF117" s="3">
        <f>'_Настройки'!$B$3</f>
        <v/>
      </c>
      <c r="AG117" s="3">
        <f>IFERROR(INDEX('_Комиссия_ВБ'!$B:$B;MATCH(C117;'_Комиссия_ВБ'!$A:$A;0));0,245)</f>
        <v/>
      </c>
      <c r="AH117" s="3">
        <f>AG117+AF117</f>
        <v/>
      </c>
      <c r="AI117" s="2">
        <f>L117*AH117</f>
        <v/>
      </c>
      <c r="AJ117" s="3">
        <f>IFERROR(INDEX('_Комиссия_ВБ'!$C:$C;MATCH(C117;'_Комиссия_ВБ'!$A:$A;0));0,28)</f>
        <v/>
      </c>
      <c r="AK117" s="3">
        <f>AJ117+AF117</f>
        <v/>
      </c>
      <c r="AL117" s="2">
        <f>L117*AK117</f>
        <v/>
      </c>
      <c r="AM117" s="2" t="n"/>
      <c r="AO117" s="3">
        <f>'_Настройки'!$B$5</f>
        <v/>
      </c>
      <c r="AP117" s="2">
        <f>IF(K117&gt;0;K117*AO117;0)</f>
        <v/>
      </c>
      <c r="AQ117" s="2">
        <f>L117-K117-AI117-AE117-IF(AM117&gt;0;AM117;'_Настройки'!$B$9)-AP117-AC117</f>
        <v/>
      </c>
      <c r="AR117" s="3">
        <f>IF(L117&gt;0;AQ117/L117;"")</f>
        <v/>
      </c>
      <c r="AS117" s="3">
        <f>IF(K117&gt;0;AQ117/K117;"")</f>
        <v/>
      </c>
      <c r="AT117" s="2">
        <f>L117-K117-AL117-AE117-IF(AM117&gt;0;AM117;'_Настройки'!$B$9)-AP117-AC117</f>
        <v/>
      </c>
      <c r="AU117" s="3">
        <f>IF(L117&gt;0;AT117/L117;"")</f>
        <v/>
      </c>
      <c r="AV117" s="3">
        <f>IF(K117&gt;0;AT117/K117;"")</f>
        <v/>
      </c>
    </row>
    <row r="118">
      <c r="A118">
        <f>ROW()-1</f>
        <v/>
      </c>
      <c r="K118" s="2">
        <f>IFERROR(INDEX('_Цены_закупки'!$B:$B;MATCH(C118;'_Цены_закупки'!$A:$A;0));"")</f>
        <v/>
      </c>
      <c r="L118" s="2" t="n"/>
      <c r="M118" s="2" t="n"/>
      <c r="N118" s="3">
        <f>IF(AND(M118&gt;0;L118&gt;0);1-L118/M118;"")</f>
        <v/>
      </c>
      <c r="O118" s="2">
        <f>IF(OR(Q118="";K118=0);"";(K118+IF(AM118&gt;0;AM118;'_Настройки'!$B$9)+AP118+AC118+Q118*K118)/(1-AH118-AD118))</f>
        <v/>
      </c>
      <c r="P118" s="2">
        <f>IF(O118="";"";O118-K118-O118*AH118-O118*AD118-IF(AM118&gt;0;AM118;'_Настройки'!$B$9)-AP118-AC118)</f>
        <v/>
      </c>
      <c r="Q118" s="3">
        <f>IF(AND(O118&gt;0;K118&gt;0);P118/K118;"")</f>
        <v/>
      </c>
      <c r="R118" s="2">
        <f>IF(O118="";"";O118-K118-O118*AK118-O118*AD118-IF(AM118&gt;0;AM118;'_Настройки'!$B$9)-AP118-AC118)</f>
        <v/>
      </c>
      <c r="S118" s="3">
        <f>IF(AND(O118&gt;0;K118&gt;0);R118/K118;"")</f>
        <v/>
      </c>
      <c r="T118" s="2" t="n"/>
      <c r="U118" s="3">
        <f>IF(AND(L118&gt;0;T118&gt;0);1-T118/L118;"")</f>
        <v/>
      </c>
      <c r="V118" s="3">
        <f>'_Настройки'!$B$4</f>
        <v/>
      </c>
      <c r="Z118" s="4">
        <f>IF(AND(W118&gt;0;X118&gt;0;Y118&gt;0);W118*X118*Y118/1000;"")</f>
        <v/>
      </c>
      <c r="AB118" s="2">
        <f>('_Настройки'!$B$6+MAX(0;Z118-1)*'_Настройки'!$B$7)*IF(AA118&gt;0;AA118;'_Настройки'!$B$10)</f>
        <v/>
      </c>
      <c r="AC118" s="2">
        <f>AB118*(1+'_Настройки'!$B$8)</f>
        <v/>
      </c>
      <c r="AD118" s="3">
        <f>'_Настройки'!$B$2</f>
        <v/>
      </c>
      <c r="AE118" s="2">
        <f>L118*AD118</f>
        <v/>
      </c>
      <c r="AF118" s="3">
        <f>'_Настройки'!$B$3</f>
        <v/>
      </c>
      <c r="AG118" s="3">
        <f>IFERROR(INDEX('_Комиссия_ВБ'!$B:$B;MATCH(C118;'_Комиссия_ВБ'!$A:$A;0));0,245)</f>
        <v/>
      </c>
      <c r="AH118" s="3">
        <f>AG118+AF118</f>
        <v/>
      </c>
      <c r="AI118" s="2">
        <f>L118*AH118</f>
        <v/>
      </c>
      <c r="AJ118" s="3">
        <f>IFERROR(INDEX('_Комиссия_ВБ'!$C:$C;MATCH(C118;'_Комиссия_ВБ'!$A:$A;0));0,28)</f>
        <v/>
      </c>
      <c r="AK118" s="3">
        <f>AJ118+AF118</f>
        <v/>
      </c>
      <c r="AL118" s="2">
        <f>L118*AK118</f>
        <v/>
      </c>
      <c r="AM118" s="2" t="n"/>
      <c r="AO118" s="3">
        <f>'_Настройки'!$B$5</f>
        <v/>
      </c>
      <c r="AP118" s="2">
        <f>IF(K118&gt;0;K118*AO118;0)</f>
        <v/>
      </c>
      <c r="AQ118" s="2">
        <f>L118-K118-AI118-AE118-IF(AM118&gt;0;AM118;'_Настройки'!$B$9)-AP118-AC118</f>
        <v/>
      </c>
      <c r="AR118" s="3">
        <f>IF(L118&gt;0;AQ118/L118;"")</f>
        <v/>
      </c>
      <c r="AS118" s="3">
        <f>IF(K118&gt;0;AQ118/K118;"")</f>
        <v/>
      </c>
      <c r="AT118" s="2">
        <f>L118-K118-AL118-AE118-IF(AM118&gt;0;AM118;'_Настройки'!$B$9)-AP118-AC118</f>
        <v/>
      </c>
      <c r="AU118" s="3">
        <f>IF(L118&gt;0;AT118/L118;"")</f>
        <v/>
      </c>
      <c r="AV118" s="3">
        <f>IF(K118&gt;0;AT118/K118;"")</f>
        <v/>
      </c>
    </row>
    <row r="119">
      <c r="A119">
        <f>ROW()-1</f>
        <v/>
      </c>
      <c r="K119" s="2">
        <f>IFERROR(INDEX('_Цены_закупки'!$B:$B;MATCH(C119;'_Цены_закупки'!$A:$A;0));"")</f>
        <v/>
      </c>
      <c r="L119" s="2" t="n"/>
      <c r="M119" s="2" t="n"/>
      <c r="N119" s="3">
        <f>IF(AND(M119&gt;0;L119&gt;0);1-L119/M119;"")</f>
        <v/>
      </c>
      <c r="O119" s="2">
        <f>IF(OR(Q119="";K119=0);"";(K119+IF(AM119&gt;0;AM119;'_Настройки'!$B$9)+AP119+AC119+Q119*K119)/(1-AH119-AD119))</f>
        <v/>
      </c>
      <c r="P119" s="2">
        <f>IF(O119="";"";O119-K119-O119*AH119-O119*AD119-IF(AM119&gt;0;AM119;'_Настройки'!$B$9)-AP119-AC119)</f>
        <v/>
      </c>
      <c r="Q119" s="3">
        <f>IF(AND(O119&gt;0;K119&gt;0);P119/K119;"")</f>
        <v/>
      </c>
      <c r="R119" s="2">
        <f>IF(O119="";"";O119-K119-O119*AK119-O119*AD119-IF(AM119&gt;0;AM119;'_Настройки'!$B$9)-AP119-AC119)</f>
        <v/>
      </c>
      <c r="S119" s="3">
        <f>IF(AND(O119&gt;0;K119&gt;0);R119/K119;"")</f>
        <v/>
      </c>
      <c r="T119" s="2" t="n"/>
      <c r="U119" s="3">
        <f>IF(AND(L119&gt;0;T119&gt;0);1-T119/L119;"")</f>
        <v/>
      </c>
      <c r="V119" s="3">
        <f>'_Настройки'!$B$4</f>
        <v/>
      </c>
      <c r="Z119" s="4">
        <f>IF(AND(W119&gt;0;X119&gt;0;Y119&gt;0);W119*X119*Y119/1000;"")</f>
        <v/>
      </c>
      <c r="AB119" s="2">
        <f>('_Настройки'!$B$6+MAX(0;Z119-1)*'_Настройки'!$B$7)*IF(AA119&gt;0;AA119;'_Настройки'!$B$10)</f>
        <v/>
      </c>
      <c r="AC119" s="2">
        <f>AB119*(1+'_Настройки'!$B$8)</f>
        <v/>
      </c>
      <c r="AD119" s="3">
        <f>'_Настройки'!$B$2</f>
        <v/>
      </c>
      <c r="AE119" s="2">
        <f>L119*AD119</f>
        <v/>
      </c>
      <c r="AF119" s="3">
        <f>'_Настройки'!$B$3</f>
        <v/>
      </c>
      <c r="AG119" s="3">
        <f>IFERROR(INDEX('_Комиссия_ВБ'!$B:$B;MATCH(C119;'_Комиссия_ВБ'!$A:$A;0));0,245)</f>
        <v/>
      </c>
      <c r="AH119" s="3">
        <f>AG119+AF119</f>
        <v/>
      </c>
      <c r="AI119" s="2">
        <f>L119*AH119</f>
        <v/>
      </c>
      <c r="AJ119" s="3">
        <f>IFERROR(INDEX('_Комиссия_ВБ'!$C:$C;MATCH(C119;'_Комиссия_ВБ'!$A:$A;0));0,28)</f>
        <v/>
      </c>
      <c r="AK119" s="3">
        <f>AJ119+AF119</f>
        <v/>
      </c>
      <c r="AL119" s="2">
        <f>L119*AK119</f>
        <v/>
      </c>
      <c r="AM119" s="2" t="n"/>
      <c r="AO119" s="3">
        <f>'_Настройки'!$B$5</f>
        <v/>
      </c>
      <c r="AP119" s="2">
        <f>IF(K119&gt;0;K119*AO119;0)</f>
        <v/>
      </c>
      <c r="AQ119" s="2">
        <f>L119-K119-AI119-AE119-IF(AM119&gt;0;AM119;'_Настройки'!$B$9)-AP119-AC119</f>
        <v/>
      </c>
      <c r="AR119" s="3">
        <f>IF(L119&gt;0;AQ119/L119;"")</f>
        <v/>
      </c>
      <c r="AS119" s="3">
        <f>IF(K119&gt;0;AQ119/K119;"")</f>
        <v/>
      </c>
      <c r="AT119" s="2">
        <f>L119-K119-AL119-AE119-IF(AM119&gt;0;AM119;'_Настройки'!$B$9)-AP119-AC119</f>
        <v/>
      </c>
      <c r="AU119" s="3">
        <f>IF(L119&gt;0;AT119/L119;"")</f>
        <v/>
      </c>
      <c r="AV119" s="3">
        <f>IF(K119&gt;0;AT119/K119;"")</f>
        <v/>
      </c>
    </row>
    <row r="120">
      <c r="A120">
        <f>ROW()-1</f>
        <v/>
      </c>
      <c r="K120" s="2">
        <f>IFERROR(INDEX('_Цены_закупки'!$B:$B;MATCH(C120;'_Цены_закупки'!$A:$A;0));"")</f>
        <v/>
      </c>
      <c r="L120" s="2" t="n"/>
      <c r="M120" s="2" t="n"/>
      <c r="N120" s="3">
        <f>IF(AND(M120&gt;0;L120&gt;0);1-L120/M120;"")</f>
        <v/>
      </c>
      <c r="O120" s="2">
        <f>IF(OR(Q120="";K120=0);"";(K120+IF(AM120&gt;0;AM120;'_Настройки'!$B$9)+AP120+AC120+Q120*K120)/(1-AH120-AD120))</f>
        <v/>
      </c>
      <c r="P120" s="2">
        <f>IF(O120="";"";O120-K120-O120*AH120-O120*AD120-IF(AM120&gt;0;AM120;'_Настройки'!$B$9)-AP120-AC120)</f>
        <v/>
      </c>
      <c r="Q120" s="3">
        <f>IF(AND(O120&gt;0;K120&gt;0);P120/K120;"")</f>
        <v/>
      </c>
      <c r="R120" s="2">
        <f>IF(O120="";"";O120-K120-O120*AK120-O120*AD120-IF(AM120&gt;0;AM120;'_Настройки'!$B$9)-AP120-AC120)</f>
        <v/>
      </c>
      <c r="S120" s="3">
        <f>IF(AND(O120&gt;0;K120&gt;0);R120/K120;"")</f>
        <v/>
      </c>
      <c r="T120" s="2" t="n"/>
      <c r="U120" s="3">
        <f>IF(AND(L120&gt;0;T120&gt;0);1-T120/L120;"")</f>
        <v/>
      </c>
      <c r="V120" s="3">
        <f>'_Настройки'!$B$4</f>
        <v/>
      </c>
      <c r="Z120" s="4">
        <f>IF(AND(W120&gt;0;X120&gt;0;Y120&gt;0);W120*X120*Y120/1000;"")</f>
        <v/>
      </c>
      <c r="AB120" s="2">
        <f>('_Настройки'!$B$6+MAX(0;Z120-1)*'_Настройки'!$B$7)*IF(AA120&gt;0;AA120;'_Настройки'!$B$10)</f>
        <v/>
      </c>
      <c r="AC120" s="2">
        <f>AB120*(1+'_Настройки'!$B$8)</f>
        <v/>
      </c>
      <c r="AD120" s="3">
        <f>'_Настройки'!$B$2</f>
        <v/>
      </c>
      <c r="AE120" s="2">
        <f>L120*AD120</f>
        <v/>
      </c>
      <c r="AF120" s="3">
        <f>'_Настройки'!$B$3</f>
        <v/>
      </c>
      <c r="AG120" s="3">
        <f>IFERROR(INDEX('_Комиссия_ВБ'!$B:$B;MATCH(C120;'_Комиссия_ВБ'!$A:$A;0));0,245)</f>
        <v/>
      </c>
      <c r="AH120" s="3">
        <f>AG120+AF120</f>
        <v/>
      </c>
      <c r="AI120" s="2">
        <f>L120*AH120</f>
        <v/>
      </c>
      <c r="AJ120" s="3">
        <f>IFERROR(INDEX('_Комиссия_ВБ'!$C:$C;MATCH(C120;'_Комиссия_ВБ'!$A:$A;0));0,28)</f>
        <v/>
      </c>
      <c r="AK120" s="3">
        <f>AJ120+AF120</f>
        <v/>
      </c>
      <c r="AL120" s="2">
        <f>L120*AK120</f>
        <v/>
      </c>
      <c r="AM120" s="2" t="n"/>
      <c r="AO120" s="3">
        <f>'_Настройки'!$B$5</f>
        <v/>
      </c>
      <c r="AP120" s="2">
        <f>IF(K120&gt;0;K120*AO120;0)</f>
        <v/>
      </c>
      <c r="AQ120" s="2">
        <f>L120-K120-AI120-AE120-IF(AM120&gt;0;AM120;'_Настройки'!$B$9)-AP120-AC120</f>
        <v/>
      </c>
      <c r="AR120" s="3">
        <f>IF(L120&gt;0;AQ120/L120;"")</f>
        <v/>
      </c>
      <c r="AS120" s="3">
        <f>IF(K120&gt;0;AQ120/K120;"")</f>
        <v/>
      </c>
      <c r="AT120" s="2">
        <f>L120-K120-AL120-AE120-IF(AM120&gt;0;AM120;'_Настройки'!$B$9)-AP120-AC120</f>
        <v/>
      </c>
      <c r="AU120" s="3">
        <f>IF(L120&gt;0;AT120/L120;"")</f>
        <v/>
      </c>
      <c r="AV120" s="3">
        <f>IF(K120&gt;0;AT120/K120;"")</f>
        <v/>
      </c>
    </row>
    <row r="121">
      <c r="A121">
        <f>ROW()-1</f>
        <v/>
      </c>
      <c r="K121" s="2">
        <f>IFERROR(INDEX('_Цены_закупки'!$B:$B;MATCH(C121;'_Цены_закупки'!$A:$A;0));"")</f>
        <v/>
      </c>
      <c r="L121" s="2" t="n"/>
      <c r="M121" s="2" t="n"/>
      <c r="N121" s="3">
        <f>IF(AND(M121&gt;0;L121&gt;0);1-L121/M121;"")</f>
        <v/>
      </c>
      <c r="O121" s="2">
        <f>IF(OR(Q121="";K121=0);"";(K121+IF(AM121&gt;0;AM121;'_Настройки'!$B$9)+AP121+AC121+Q121*K121)/(1-AH121-AD121))</f>
        <v/>
      </c>
      <c r="P121" s="2">
        <f>IF(O121="";"";O121-K121-O121*AH121-O121*AD121-IF(AM121&gt;0;AM121;'_Настройки'!$B$9)-AP121-AC121)</f>
        <v/>
      </c>
      <c r="Q121" s="3">
        <f>IF(AND(O121&gt;0;K121&gt;0);P121/K121;"")</f>
        <v/>
      </c>
      <c r="R121" s="2">
        <f>IF(O121="";"";O121-K121-O121*AK121-O121*AD121-IF(AM121&gt;0;AM121;'_Настройки'!$B$9)-AP121-AC121)</f>
        <v/>
      </c>
      <c r="S121" s="3">
        <f>IF(AND(O121&gt;0;K121&gt;0);R121/K121;"")</f>
        <v/>
      </c>
      <c r="T121" s="2" t="n"/>
      <c r="U121" s="3">
        <f>IF(AND(L121&gt;0;T121&gt;0);1-T121/L121;"")</f>
        <v/>
      </c>
      <c r="V121" s="3">
        <f>'_Настройки'!$B$4</f>
        <v/>
      </c>
      <c r="Z121" s="4">
        <f>IF(AND(W121&gt;0;X121&gt;0;Y121&gt;0);W121*X121*Y121/1000;"")</f>
        <v/>
      </c>
      <c r="AB121" s="2">
        <f>('_Настройки'!$B$6+MAX(0;Z121-1)*'_Настройки'!$B$7)*IF(AA121&gt;0;AA121;'_Настройки'!$B$10)</f>
        <v/>
      </c>
      <c r="AC121" s="2">
        <f>AB121*(1+'_Настройки'!$B$8)</f>
        <v/>
      </c>
      <c r="AD121" s="3">
        <f>'_Настройки'!$B$2</f>
        <v/>
      </c>
      <c r="AE121" s="2">
        <f>L121*AD121</f>
        <v/>
      </c>
      <c r="AF121" s="3">
        <f>'_Настройки'!$B$3</f>
        <v/>
      </c>
      <c r="AG121" s="3">
        <f>IFERROR(INDEX('_Комиссия_ВБ'!$B:$B;MATCH(C121;'_Комиссия_ВБ'!$A:$A;0));0,245)</f>
        <v/>
      </c>
      <c r="AH121" s="3">
        <f>AG121+AF121</f>
        <v/>
      </c>
      <c r="AI121" s="2">
        <f>L121*AH121</f>
        <v/>
      </c>
      <c r="AJ121" s="3">
        <f>IFERROR(INDEX('_Комиссия_ВБ'!$C:$C;MATCH(C121;'_Комиссия_ВБ'!$A:$A;0));0,28)</f>
        <v/>
      </c>
      <c r="AK121" s="3">
        <f>AJ121+AF121</f>
        <v/>
      </c>
      <c r="AL121" s="2">
        <f>L121*AK121</f>
        <v/>
      </c>
      <c r="AM121" s="2" t="n"/>
      <c r="AO121" s="3">
        <f>'_Настройки'!$B$5</f>
        <v/>
      </c>
      <c r="AP121" s="2">
        <f>IF(K121&gt;0;K121*AO121;0)</f>
        <v/>
      </c>
      <c r="AQ121" s="2">
        <f>L121-K121-AI121-AE121-IF(AM121&gt;0;AM121;'_Настройки'!$B$9)-AP121-AC121</f>
        <v/>
      </c>
      <c r="AR121" s="3">
        <f>IF(L121&gt;0;AQ121/L121;"")</f>
        <v/>
      </c>
      <c r="AS121" s="3">
        <f>IF(K121&gt;0;AQ121/K121;"")</f>
        <v/>
      </c>
      <c r="AT121" s="2">
        <f>L121-K121-AL121-AE121-IF(AM121&gt;0;AM121;'_Настройки'!$B$9)-AP121-AC121</f>
        <v/>
      </c>
      <c r="AU121" s="3">
        <f>IF(L121&gt;0;AT121/L121;"")</f>
        <v/>
      </c>
      <c r="AV121" s="3">
        <f>IF(K121&gt;0;AT121/K121;"")</f>
        <v/>
      </c>
    </row>
    <row r="122">
      <c r="A122">
        <f>ROW()-1</f>
        <v/>
      </c>
      <c r="K122" s="2">
        <f>IFERROR(INDEX('_Цены_закупки'!$B:$B;MATCH(C122;'_Цены_закупки'!$A:$A;0));"")</f>
        <v/>
      </c>
      <c r="L122" s="2" t="n"/>
      <c r="M122" s="2" t="n"/>
      <c r="N122" s="3">
        <f>IF(AND(M122&gt;0;L122&gt;0);1-L122/M122;"")</f>
        <v/>
      </c>
      <c r="O122" s="2">
        <f>IF(OR(Q122="";K122=0);"";(K122+IF(AM122&gt;0;AM122;'_Настройки'!$B$9)+AP122+AC122+Q122*K122)/(1-AH122-AD122))</f>
        <v/>
      </c>
      <c r="P122" s="2">
        <f>IF(O122="";"";O122-K122-O122*AH122-O122*AD122-IF(AM122&gt;0;AM122;'_Настройки'!$B$9)-AP122-AC122)</f>
        <v/>
      </c>
      <c r="Q122" s="3">
        <f>IF(AND(O122&gt;0;K122&gt;0);P122/K122;"")</f>
        <v/>
      </c>
      <c r="R122" s="2">
        <f>IF(O122="";"";O122-K122-O122*AK122-O122*AD122-IF(AM122&gt;0;AM122;'_Настройки'!$B$9)-AP122-AC122)</f>
        <v/>
      </c>
      <c r="S122" s="3">
        <f>IF(AND(O122&gt;0;K122&gt;0);R122/K122;"")</f>
        <v/>
      </c>
      <c r="T122" s="2" t="n"/>
      <c r="U122" s="3">
        <f>IF(AND(L122&gt;0;T122&gt;0);1-T122/L122;"")</f>
        <v/>
      </c>
      <c r="V122" s="3">
        <f>'_Настройки'!$B$4</f>
        <v/>
      </c>
      <c r="Z122" s="4">
        <f>IF(AND(W122&gt;0;X122&gt;0;Y122&gt;0);W122*X122*Y122/1000;"")</f>
        <v/>
      </c>
      <c r="AB122" s="2">
        <f>('_Настройки'!$B$6+MAX(0;Z122-1)*'_Настройки'!$B$7)*IF(AA122&gt;0;AA122;'_Настройки'!$B$10)</f>
        <v/>
      </c>
      <c r="AC122" s="2">
        <f>AB122*(1+'_Настройки'!$B$8)</f>
        <v/>
      </c>
      <c r="AD122" s="3">
        <f>'_Настройки'!$B$2</f>
        <v/>
      </c>
      <c r="AE122" s="2">
        <f>L122*AD122</f>
        <v/>
      </c>
      <c r="AF122" s="3">
        <f>'_Настройки'!$B$3</f>
        <v/>
      </c>
      <c r="AG122" s="3">
        <f>IFERROR(INDEX('_Комиссия_ВБ'!$B:$B;MATCH(C122;'_Комиссия_ВБ'!$A:$A;0));0,245)</f>
        <v/>
      </c>
      <c r="AH122" s="3">
        <f>AG122+AF122</f>
        <v/>
      </c>
      <c r="AI122" s="2">
        <f>L122*AH122</f>
        <v/>
      </c>
      <c r="AJ122" s="3">
        <f>IFERROR(INDEX('_Комиссия_ВБ'!$C:$C;MATCH(C122;'_Комиссия_ВБ'!$A:$A;0));0,28)</f>
        <v/>
      </c>
      <c r="AK122" s="3">
        <f>AJ122+AF122</f>
        <v/>
      </c>
      <c r="AL122" s="2">
        <f>L122*AK122</f>
        <v/>
      </c>
      <c r="AM122" s="2" t="n"/>
      <c r="AO122" s="3">
        <f>'_Настройки'!$B$5</f>
        <v/>
      </c>
      <c r="AP122" s="2">
        <f>IF(K122&gt;0;K122*AO122;0)</f>
        <v/>
      </c>
      <c r="AQ122" s="2">
        <f>L122-K122-AI122-AE122-IF(AM122&gt;0;AM122;'_Настройки'!$B$9)-AP122-AC122</f>
        <v/>
      </c>
      <c r="AR122" s="3">
        <f>IF(L122&gt;0;AQ122/L122;"")</f>
        <v/>
      </c>
      <c r="AS122" s="3">
        <f>IF(K122&gt;0;AQ122/K122;"")</f>
        <v/>
      </c>
      <c r="AT122" s="2">
        <f>L122-K122-AL122-AE122-IF(AM122&gt;0;AM122;'_Настройки'!$B$9)-AP122-AC122</f>
        <v/>
      </c>
      <c r="AU122" s="3">
        <f>IF(L122&gt;0;AT122/L122;"")</f>
        <v/>
      </c>
      <c r="AV122" s="3">
        <f>IF(K122&gt;0;AT122/K122;"")</f>
        <v/>
      </c>
    </row>
    <row r="123">
      <c r="A123">
        <f>ROW()-1</f>
        <v/>
      </c>
      <c r="K123" s="2">
        <f>IFERROR(INDEX('_Цены_закупки'!$B:$B;MATCH(C123;'_Цены_закупки'!$A:$A;0));"")</f>
        <v/>
      </c>
      <c r="L123" s="2" t="n"/>
      <c r="M123" s="2" t="n"/>
      <c r="N123" s="3">
        <f>IF(AND(M123&gt;0;L123&gt;0);1-L123/M123;"")</f>
        <v/>
      </c>
      <c r="O123" s="2">
        <f>IF(OR(Q123="";K123=0);"";(K123+IF(AM123&gt;0;AM123;'_Настройки'!$B$9)+AP123+AC123+Q123*K123)/(1-AH123-AD123))</f>
        <v/>
      </c>
      <c r="P123" s="2">
        <f>IF(O123="";"";O123-K123-O123*AH123-O123*AD123-IF(AM123&gt;0;AM123;'_Настройки'!$B$9)-AP123-AC123)</f>
        <v/>
      </c>
      <c r="Q123" s="3">
        <f>IF(AND(O123&gt;0;K123&gt;0);P123/K123;"")</f>
        <v/>
      </c>
      <c r="R123" s="2">
        <f>IF(O123="";"";O123-K123-O123*AK123-O123*AD123-IF(AM123&gt;0;AM123;'_Настройки'!$B$9)-AP123-AC123)</f>
        <v/>
      </c>
      <c r="S123" s="3">
        <f>IF(AND(O123&gt;0;K123&gt;0);R123/K123;"")</f>
        <v/>
      </c>
      <c r="T123" s="2" t="n"/>
      <c r="U123" s="3">
        <f>IF(AND(L123&gt;0;T123&gt;0);1-T123/L123;"")</f>
        <v/>
      </c>
      <c r="V123" s="3">
        <f>'_Настройки'!$B$4</f>
        <v/>
      </c>
      <c r="Z123" s="4">
        <f>IF(AND(W123&gt;0;X123&gt;0;Y123&gt;0);W123*X123*Y123/1000;"")</f>
        <v/>
      </c>
      <c r="AB123" s="2">
        <f>('_Настройки'!$B$6+MAX(0;Z123-1)*'_Настройки'!$B$7)*IF(AA123&gt;0;AA123;'_Настройки'!$B$10)</f>
        <v/>
      </c>
      <c r="AC123" s="2">
        <f>AB123*(1+'_Настройки'!$B$8)</f>
        <v/>
      </c>
      <c r="AD123" s="3">
        <f>'_Настройки'!$B$2</f>
        <v/>
      </c>
      <c r="AE123" s="2">
        <f>L123*AD123</f>
        <v/>
      </c>
      <c r="AF123" s="3">
        <f>'_Настройки'!$B$3</f>
        <v/>
      </c>
      <c r="AG123" s="3">
        <f>IFERROR(INDEX('_Комиссия_ВБ'!$B:$B;MATCH(C123;'_Комиссия_ВБ'!$A:$A;0));0,245)</f>
        <v/>
      </c>
      <c r="AH123" s="3">
        <f>AG123+AF123</f>
        <v/>
      </c>
      <c r="AI123" s="2">
        <f>L123*AH123</f>
        <v/>
      </c>
      <c r="AJ123" s="3">
        <f>IFERROR(INDEX('_Комиссия_ВБ'!$C:$C;MATCH(C123;'_Комиссия_ВБ'!$A:$A;0));0,28)</f>
        <v/>
      </c>
      <c r="AK123" s="3">
        <f>AJ123+AF123</f>
        <v/>
      </c>
      <c r="AL123" s="2">
        <f>L123*AK123</f>
        <v/>
      </c>
      <c r="AM123" s="2" t="n"/>
      <c r="AO123" s="3">
        <f>'_Настройки'!$B$5</f>
        <v/>
      </c>
      <c r="AP123" s="2">
        <f>IF(K123&gt;0;K123*AO123;0)</f>
        <v/>
      </c>
      <c r="AQ123" s="2">
        <f>L123-K123-AI123-AE123-IF(AM123&gt;0;AM123;'_Настройки'!$B$9)-AP123-AC123</f>
        <v/>
      </c>
      <c r="AR123" s="3">
        <f>IF(L123&gt;0;AQ123/L123;"")</f>
        <v/>
      </c>
      <c r="AS123" s="3">
        <f>IF(K123&gt;0;AQ123/K123;"")</f>
        <v/>
      </c>
      <c r="AT123" s="2">
        <f>L123-K123-AL123-AE123-IF(AM123&gt;0;AM123;'_Настройки'!$B$9)-AP123-AC123</f>
        <v/>
      </c>
      <c r="AU123" s="3">
        <f>IF(L123&gt;0;AT123/L123;"")</f>
        <v/>
      </c>
      <c r="AV123" s="3">
        <f>IF(K123&gt;0;AT123/K123;"")</f>
        <v/>
      </c>
    </row>
    <row r="124">
      <c r="A124">
        <f>ROW()-1</f>
        <v/>
      </c>
      <c r="K124" s="2">
        <f>IFERROR(INDEX('_Цены_закупки'!$B:$B;MATCH(C124;'_Цены_закупки'!$A:$A;0));"")</f>
        <v/>
      </c>
      <c r="L124" s="2" t="n"/>
      <c r="M124" s="2" t="n"/>
      <c r="N124" s="3">
        <f>IF(AND(M124&gt;0;L124&gt;0);1-L124/M124;"")</f>
        <v/>
      </c>
      <c r="O124" s="2">
        <f>IF(OR(Q124="";K124=0);"";(K124+IF(AM124&gt;0;AM124;'_Настройки'!$B$9)+AP124+AC124+Q124*K124)/(1-AH124-AD124))</f>
        <v/>
      </c>
      <c r="P124" s="2">
        <f>IF(O124="";"";O124-K124-O124*AH124-O124*AD124-IF(AM124&gt;0;AM124;'_Настройки'!$B$9)-AP124-AC124)</f>
        <v/>
      </c>
      <c r="Q124" s="3">
        <f>IF(AND(O124&gt;0;K124&gt;0);P124/K124;"")</f>
        <v/>
      </c>
      <c r="R124" s="2">
        <f>IF(O124="";"";O124-K124-O124*AK124-O124*AD124-IF(AM124&gt;0;AM124;'_Настройки'!$B$9)-AP124-AC124)</f>
        <v/>
      </c>
      <c r="S124" s="3">
        <f>IF(AND(O124&gt;0;K124&gt;0);R124/K124;"")</f>
        <v/>
      </c>
      <c r="T124" s="2" t="n"/>
      <c r="U124" s="3">
        <f>IF(AND(L124&gt;0;T124&gt;0);1-T124/L124;"")</f>
        <v/>
      </c>
      <c r="V124" s="3">
        <f>'_Настройки'!$B$4</f>
        <v/>
      </c>
      <c r="Z124" s="4">
        <f>IF(AND(W124&gt;0;X124&gt;0;Y124&gt;0);W124*X124*Y124/1000;"")</f>
        <v/>
      </c>
      <c r="AB124" s="2">
        <f>('_Настройки'!$B$6+MAX(0;Z124-1)*'_Настройки'!$B$7)*IF(AA124&gt;0;AA124;'_Настройки'!$B$10)</f>
        <v/>
      </c>
      <c r="AC124" s="2">
        <f>AB124*(1+'_Настройки'!$B$8)</f>
        <v/>
      </c>
      <c r="AD124" s="3">
        <f>'_Настройки'!$B$2</f>
        <v/>
      </c>
      <c r="AE124" s="2">
        <f>L124*AD124</f>
        <v/>
      </c>
      <c r="AF124" s="3">
        <f>'_Настройки'!$B$3</f>
        <v/>
      </c>
      <c r="AG124" s="3">
        <f>IFERROR(INDEX('_Комиссия_ВБ'!$B:$B;MATCH(C124;'_Комиссия_ВБ'!$A:$A;0));0,245)</f>
        <v/>
      </c>
      <c r="AH124" s="3">
        <f>AG124+AF124</f>
        <v/>
      </c>
      <c r="AI124" s="2">
        <f>L124*AH124</f>
        <v/>
      </c>
      <c r="AJ124" s="3">
        <f>IFERROR(INDEX('_Комиссия_ВБ'!$C:$C;MATCH(C124;'_Комиссия_ВБ'!$A:$A;0));0,28)</f>
        <v/>
      </c>
      <c r="AK124" s="3">
        <f>AJ124+AF124</f>
        <v/>
      </c>
      <c r="AL124" s="2">
        <f>L124*AK124</f>
        <v/>
      </c>
      <c r="AM124" s="2" t="n"/>
      <c r="AO124" s="3">
        <f>'_Настройки'!$B$5</f>
        <v/>
      </c>
      <c r="AP124" s="2">
        <f>IF(K124&gt;0;K124*AO124;0)</f>
        <v/>
      </c>
      <c r="AQ124" s="2">
        <f>L124-K124-AI124-AE124-IF(AM124&gt;0;AM124;'_Настройки'!$B$9)-AP124-AC124</f>
        <v/>
      </c>
      <c r="AR124" s="3">
        <f>IF(L124&gt;0;AQ124/L124;"")</f>
        <v/>
      </c>
      <c r="AS124" s="3">
        <f>IF(K124&gt;0;AQ124/K124;"")</f>
        <v/>
      </c>
      <c r="AT124" s="2">
        <f>L124-K124-AL124-AE124-IF(AM124&gt;0;AM124;'_Настройки'!$B$9)-AP124-AC124</f>
        <v/>
      </c>
      <c r="AU124" s="3">
        <f>IF(L124&gt;0;AT124/L124;"")</f>
        <v/>
      </c>
      <c r="AV124" s="3">
        <f>IF(K124&gt;0;AT124/K124;"")</f>
        <v/>
      </c>
    </row>
    <row r="125">
      <c r="A125">
        <f>ROW()-1</f>
        <v/>
      </c>
      <c r="K125" s="2">
        <f>IFERROR(INDEX('_Цены_закупки'!$B:$B;MATCH(C125;'_Цены_закупки'!$A:$A;0));"")</f>
        <v/>
      </c>
      <c r="L125" s="2" t="n"/>
      <c r="M125" s="2" t="n"/>
      <c r="N125" s="3">
        <f>IF(AND(M125&gt;0;L125&gt;0);1-L125/M125;"")</f>
        <v/>
      </c>
      <c r="O125" s="2">
        <f>IF(OR(Q125="";K125=0);"";(K125+IF(AM125&gt;0;AM125;'_Настройки'!$B$9)+AP125+AC125+Q125*K125)/(1-AH125-AD125))</f>
        <v/>
      </c>
      <c r="P125" s="2">
        <f>IF(O125="";"";O125-K125-O125*AH125-O125*AD125-IF(AM125&gt;0;AM125;'_Настройки'!$B$9)-AP125-AC125)</f>
        <v/>
      </c>
      <c r="Q125" s="3">
        <f>IF(AND(O125&gt;0;K125&gt;0);P125/K125;"")</f>
        <v/>
      </c>
      <c r="R125" s="2">
        <f>IF(O125="";"";O125-K125-O125*AK125-O125*AD125-IF(AM125&gt;0;AM125;'_Настройки'!$B$9)-AP125-AC125)</f>
        <v/>
      </c>
      <c r="S125" s="3">
        <f>IF(AND(O125&gt;0;K125&gt;0);R125/K125;"")</f>
        <v/>
      </c>
      <c r="T125" s="2" t="n"/>
      <c r="U125" s="3">
        <f>IF(AND(L125&gt;0;T125&gt;0);1-T125/L125;"")</f>
        <v/>
      </c>
      <c r="V125" s="3">
        <f>'_Настройки'!$B$4</f>
        <v/>
      </c>
      <c r="Z125" s="4">
        <f>IF(AND(W125&gt;0;X125&gt;0;Y125&gt;0);W125*X125*Y125/1000;"")</f>
        <v/>
      </c>
      <c r="AB125" s="2">
        <f>('_Настройки'!$B$6+MAX(0;Z125-1)*'_Настройки'!$B$7)*IF(AA125&gt;0;AA125;'_Настройки'!$B$10)</f>
        <v/>
      </c>
      <c r="AC125" s="2">
        <f>AB125*(1+'_Настройки'!$B$8)</f>
        <v/>
      </c>
      <c r="AD125" s="3">
        <f>'_Настройки'!$B$2</f>
        <v/>
      </c>
      <c r="AE125" s="2">
        <f>L125*AD125</f>
        <v/>
      </c>
      <c r="AF125" s="3">
        <f>'_Настройки'!$B$3</f>
        <v/>
      </c>
      <c r="AG125" s="3">
        <f>IFERROR(INDEX('_Комиссия_ВБ'!$B:$B;MATCH(C125;'_Комиссия_ВБ'!$A:$A;0));0,245)</f>
        <v/>
      </c>
      <c r="AH125" s="3">
        <f>AG125+AF125</f>
        <v/>
      </c>
      <c r="AI125" s="2">
        <f>L125*AH125</f>
        <v/>
      </c>
      <c r="AJ125" s="3">
        <f>IFERROR(INDEX('_Комиссия_ВБ'!$C:$C;MATCH(C125;'_Комиссия_ВБ'!$A:$A;0));0,28)</f>
        <v/>
      </c>
      <c r="AK125" s="3">
        <f>AJ125+AF125</f>
        <v/>
      </c>
      <c r="AL125" s="2">
        <f>L125*AK125</f>
        <v/>
      </c>
      <c r="AM125" s="2" t="n"/>
      <c r="AO125" s="3">
        <f>'_Настройки'!$B$5</f>
        <v/>
      </c>
      <c r="AP125" s="2">
        <f>IF(K125&gt;0;K125*AO125;0)</f>
        <v/>
      </c>
      <c r="AQ125" s="2">
        <f>L125-K125-AI125-AE125-IF(AM125&gt;0;AM125;'_Настройки'!$B$9)-AP125-AC125</f>
        <v/>
      </c>
      <c r="AR125" s="3">
        <f>IF(L125&gt;0;AQ125/L125;"")</f>
        <v/>
      </c>
      <c r="AS125" s="3">
        <f>IF(K125&gt;0;AQ125/K125;"")</f>
        <v/>
      </c>
      <c r="AT125" s="2">
        <f>L125-K125-AL125-AE125-IF(AM125&gt;0;AM125;'_Настройки'!$B$9)-AP125-AC125</f>
        <v/>
      </c>
      <c r="AU125" s="3">
        <f>IF(L125&gt;0;AT125/L125;"")</f>
        <v/>
      </c>
      <c r="AV125" s="3">
        <f>IF(K125&gt;0;AT125/K125;"")</f>
        <v/>
      </c>
    </row>
    <row r="126">
      <c r="A126">
        <f>ROW()-1</f>
        <v/>
      </c>
      <c r="K126" s="2">
        <f>IFERROR(INDEX('_Цены_закупки'!$B:$B;MATCH(C126;'_Цены_закупки'!$A:$A;0));"")</f>
        <v/>
      </c>
      <c r="L126" s="2" t="n"/>
      <c r="M126" s="2" t="n"/>
      <c r="N126" s="3">
        <f>IF(AND(M126&gt;0;L126&gt;0);1-L126/M126;"")</f>
        <v/>
      </c>
      <c r="O126" s="2">
        <f>IF(OR(Q126="";K126=0);"";(K126+IF(AM126&gt;0;AM126;'_Настройки'!$B$9)+AP126+AC126+Q126*K126)/(1-AH126-AD126))</f>
        <v/>
      </c>
      <c r="P126" s="2">
        <f>IF(O126="";"";O126-K126-O126*AH126-O126*AD126-IF(AM126&gt;0;AM126;'_Настройки'!$B$9)-AP126-AC126)</f>
        <v/>
      </c>
      <c r="Q126" s="3">
        <f>IF(AND(O126&gt;0;K126&gt;0);P126/K126;"")</f>
        <v/>
      </c>
      <c r="R126" s="2">
        <f>IF(O126="";"";O126-K126-O126*AK126-O126*AD126-IF(AM126&gt;0;AM126;'_Настройки'!$B$9)-AP126-AC126)</f>
        <v/>
      </c>
      <c r="S126" s="3">
        <f>IF(AND(O126&gt;0;K126&gt;0);R126/K126;"")</f>
        <v/>
      </c>
      <c r="T126" s="2" t="n"/>
      <c r="U126" s="3">
        <f>IF(AND(L126&gt;0;T126&gt;0);1-T126/L126;"")</f>
        <v/>
      </c>
      <c r="V126" s="3">
        <f>'_Настройки'!$B$4</f>
        <v/>
      </c>
      <c r="Z126" s="4">
        <f>IF(AND(W126&gt;0;X126&gt;0;Y126&gt;0);W126*X126*Y126/1000;"")</f>
        <v/>
      </c>
      <c r="AB126" s="2">
        <f>('_Настройки'!$B$6+MAX(0;Z126-1)*'_Настройки'!$B$7)*IF(AA126&gt;0;AA126;'_Настройки'!$B$10)</f>
        <v/>
      </c>
      <c r="AC126" s="2">
        <f>AB126*(1+'_Настройки'!$B$8)</f>
        <v/>
      </c>
      <c r="AD126" s="3">
        <f>'_Настройки'!$B$2</f>
        <v/>
      </c>
      <c r="AE126" s="2">
        <f>L126*AD126</f>
        <v/>
      </c>
      <c r="AF126" s="3">
        <f>'_Настройки'!$B$3</f>
        <v/>
      </c>
      <c r="AG126" s="3">
        <f>IFERROR(INDEX('_Комиссия_ВБ'!$B:$B;MATCH(C126;'_Комиссия_ВБ'!$A:$A;0));0,245)</f>
        <v/>
      </c>
      <c r="AH126" s="3">
        <f>AG126+AF126</f>
        <v/>
      </c>
      <c r="AI126" s="2">
        <f>L126*AH126</f>
        <v/>
      </c>
      <c r="AJ126" s="3">
        <f>IFERROR(INDEX('_Комиссия_ВБ'!$C:$C;MATCH(C126;'_Комиссия_ВБ'!$A:$A;0));0,28)</f>
        <v/>
      </c>
      <c r="AK126" s="3">
        <f>AJ126+AF126</f>
        <v/>
      </c>
      <c r="AL126" s="2">
        <f>L126*AK126</f>
        <v/>
      </c>
      <c r="AM126" s="2" t="n"/>
      <c r="AO126" s="3">
        <f>'_Настройки'!$B$5</f>
        <v/>
      </c>
      <c r="AP126" s="2">
        <f>IF(K126&gt;0;K126*AO126;0)</f>
        <v/>
      </c>
      <c r="AQ126" s="2">
        <f>L126-K126-AI126-AE126-IF(AM126&gt;0;AM126;'_Настройки'!$B$9)-AP126-AC126</f>
        <v/>
      </c>
      <c r="AR126" s="3">
        <f>IF(L126&gt;0;AQ126/L126;"")</f>
        <v/>
      </c>
      <c r="AS126" s="3">
        <f>IF(K126&gt;0;AQ126/K126;"")</f>
        <v/>
      </c>
      <c r="AT126" s="2">
        <f>L126-K126-AL126-AE126-IF(AM126&gt;0;AM126;'_Настройки'!$B$9)-AP126-AC126</f>
        <v/>
      </c>
      <c r="AU126" s="3">
        <f>IF(L126&gt;0;AT126/L126;"")</f>
        <v/>
      </c>
      <c r="AV126" s="3">
        <f>IF(K126&gt;0;AT126/K126;"")</f>
        <v/>
      </c>
    </row>
    <row r="127">
      <c r="A127">
        <f>ROW()-1</f>
        <v/>
      </c>
      <c r="K127" s="2">
        <f>IFERROR(INDEX('_Цены_закупки'!$B:$B;MATCH(C127;'_Цены_закупки'!$A:$A;0));"")</f>
        <v/>
      </c>
      <c r="L127" s="2" t="n"/>
      <c r="M127" s="2" t="n"/>
      <c r="N127" s="3">
        <f>IF(AND(M127&gt;0;L127&gt;0);1-L127/M127;"")</f>
        <v/>
      </c>
      <c r="O127" s="2">
        <f>IF(OR(Q127="";K127=0);"";(K127+IF(AM127&gt;0;AM127;'_Настройки'!$B$9)+AP127+AC127+Q127*K127)/(1-AH127-AD127))</f>
        <v/>
      </c>
      <c r="P127" s="2">
        <f>IF(O127="";"";O127-K127-O127*AH127-O127*AD127-IF(AM127&gt;0;AM127;'_Настройки'!$B$9)-AP127-AC127)</f>
        <v/>
      </c>
      <c r="Q127" s="3">
        <f>IF(AND(O127&gt;0;K127&gt;0);P127/K127;"")</f>
        <v/>
      </c>
      <c r="R127" s="2">
        <f>IF(O127="";"";O127-K127-O127*AK127-O127*AD127-IF(AM127&gt;0;AM127;'_Настройки'!$B$9)-AP127-AC127)</f>
        <v/>
      </c>
      <c r="S127" s="3">
        <f>IF(AND(O127&gt;0;K127&gt;0);R127/K127;"")</f>
        <v/>
      </c>
      <c r="T127" s="2" t="n"/>
      <c r="U127" s="3">
        <f>IF(AND(L127&gt;0;T127&gt;0);1-T127/L127;"")</f>
        <v/>
      </c>
      <c r="V127" s="3">
        <f>'_Настройки'!$B$4</f>
        <v/>
      </c>
      <c r="Z127" s="4">
        <f>IF(AND(W127&gt;0;X127&gt;0;Y127&gt;0);W127*X127*Y127/1000;"")</f>
        <v/>
      </c>
      <c r="AB127" s="2">
        <f>('_Настройки'!$B$6+MAX(0;Z127-1)*'_Настройки'!$B$7)*IF(AA127&gt;0;AA127;'_Настройки'!$B$10)</f>
        <v/>
      </c>
      <c r="AC127" s="2">
        <f>AB127*(1+'_Настройки'!$B$8)</f>
        <v/>
      </c>
      <c r="AD127" s="3">
        <f>'_Настройки'!$B$2</f>
        <v/>
      </c>
      <c r="AE127" s="2">
        <f>L127*AD127</f>
        <v/>
      </c>
      <c r="AF127" s="3">
        <f>'_Настройки'!$B$3</f>
        <v/>
      </c>
      <c r="AG127" s="3">
        <f>IFERROR(INDEX('_Комиссия_ВБ'!$B:$B;MATCH(C127;'_Комиссия_ВБ'!$A:$A;0));0,245)</f>
        <v/>
      </c>
      <c r="AH127" s="3">
        <f>AG127+AF127</f>
        <v/>
      </c>
      <c r="AI127" s="2">
        <f>L127*AH127</f>
        <v/>
      </c>
      <c r="AJ127" s="3">
        <f>IFERROR(INDEX('_Комиссия_ВБ'!$C:$C;MATCH(C127;'_Комиссия_ВБ'!$A:$A;0));0,28)</f>
        <v/>
      </c>
      <c r="AK127" s="3">
        <f>AJ127+AF127</f>
        <v/>
      </c>
      <c r="AL127" s="2">
        <f>L127*AK127</f>
        <v/>
      </c>
      <c r="AM127" s="2" t="n"/>
      <c r="AO127" s="3">
        <f>'_Настройки'!$B$5</f>
        <v/>
      </c>
      <c r="AP127" s="2">
        <f>IF(K127&gt;0;K127*AO127;0)</f>
        <v/>
      </c>
      <c r="AQ127" s="2">
        <f>L127-K127-AI127-AE127-IF(AM127&gt;0;AM127;'_Настройки'!$B$9)-AP127-AC127</f>
        <v/>
      </c>
      <c r="AR127" s="3">
        <f>IF(L127&gt;0;AQ127/L127;"")</f>
        <v/>
      </c>
      <c r="AS127" s="3">
        <f>IF(K127&gt;0;AQ127/K127;"")</f>
        <v/>
      </c>
      <c r="AT127" s="2">
        <f>L127-K127-AL127-AE127-IF(AM127&gt;0;AM127;'_Настройки'!$B$9)-AP127-AC127</f>
        <v/>
      </c>
      <c r="AU127" s="3">
        <f>IF(L127&gt;0;AT127/L127;"")</f>
        <v/>
      </c>
      <c r="AV127" s="3">
        <f>IF(K127&gt;0;AT127/K127;"")</f>
        <v/>
      </c>
    </row>
    <row r="128">
      <c r="A128">
        <f>ROW()-1</f>
        <v/>
      </c>
      <c r="K128" s="2">
        <f>IFERROR(INDEX('_Цены_закупки'!$B:$B;MATCH(C128;'_Цены_закупки'!$A:$A;0));"")</f>
        <v/>
      </c>
      <c r="L128" s="2" t="n"/>
      <c r="M128" s="2" t="n"/>
      <c r="N128" s="3">
        <f>IF(AND(M128&gt;0;L128&gt;0);1-L128/M128;"")</f>
        <v/>
      </c>
      <c r="O128" s="2">
        <f>IF(OR(Q128="";K128=0);"";(K128+IF(AM128&gt;0;AM128;'_Настройки'!$B$9)+AP128+AC128+Q128*K128)/(1-AH128-AD128))</f>
        <v/>
      </c>
      <c r="P128" s="2">
        <f>IF(O128="";"";O128-K128-O128*AH128-O128*AD128-IF(AM128&gt;0;AM128;'_Настройки'!$B$9)-AP128-AC128)</f>
        <v/>
      </c>
      <c r="Q128" s="3">
        <f>IF(AND(O128&gt;0;K128&gt;0);P128/K128;"")</f>
        <v/>
      </c>
      <c r="R128" s="2">
        <f>IF(O128="";"";O128-K128-O128*AK128-O128*AD128-IF(AM128&gt;0;AM128;'_Настройки'!$B$9)-AP128-AC128)</f>
        <v/>
      </c>
      <c r="S128" s="3">
        <f>IF(AND(O128&gt;0;K128&gt;0);R128/K128;"")</f>
        <v/>
      </c>
      <c r="T128" s="2" t="n"/>
      <c r="U128" s="3">
        <f>IF(AND(L128&gt;0;T128&gt;0);1-T128/L128;"")</f>
        <v/>
      </c>
      <c r="V128" s="3">
        <f>'_Настройки'!$B$4</f>
        <v/>
      </c>
      <c r="Z128" s="4">
        <f>IF(AND(W128&gt;0;X128&gt;0;Y128&gt;0);W128*X128*Y128/1000;"")</f>
        <v/>
      </c>
      <c r="AB128" s="2">
        <f>('_Настройки'!$B$6+MAX(0;Z128-1)*'_Настройки'!$B$7)*IF(AA128&gt;0;AA128;'_Настройки'!$B$10)</f>
        <v/>
      </c>
      <c r="AC128" s="2">
        <f>AB128*(1+'_Настройки'!$B$8)</f>
        <v/>
      </c>
      <c r="AD128" s="3">
        <f>'_Настройки'!$B$2</f>
        <v/>
      </c>
      <c r="AE128" s="2">
        <f>L128*AD128</f>
        <v/>
      </c>
      <c r="AF128" s="3">
        <f>'_Настройки'!$B$3</f>
        <v/>
      </c>
      <c r="AG128" s="3">
        <f>IFERROR(INDEX('_Комиссия_ВБ'!$B:$B;MATCH(C128;'_Комиссия_ВБ'!$A:$A;0));0,245)</f>
        <v/>
      </c>
      <c r="AH128" s="3">
        <f>AG128+AF128</f>
        <v/>
      </c>
      <c r="AI128" s="2">
        <f>L128*AH128</f>
        <v/>
      </c>
      <c r="AJ128" s="3">
        <f>IFERROR(INDEX('_Комиссия_ВБ'!$C:$C;MATCH(C128;'_Комиссия_ВБ'!$A:$A;0));0,28)</f>
        <v/>
      </c>
      <c r="AK128" s="3">
        <f>AJ128+AF128</f>
        <v/>
      </c>
      <c r="AL128" s="2">
        <f>L128*AK128</f>
        <v/>
      </c>
      <c r="AM128" s="2" t="n"/>
      <c r="AO128" s="3">
        <f>'_Настройки'!$B$5</f>
        <v/>
      </c>
      <c r="AP128" s="2">
        <f>IF(K128&gt;0;K128*AO128;0)</f>
        <v/>
      </c>
      <c r="AQ128" s="2">
        <f>L128-K128-AI128-AE128-IF(AM128&gt;0;AM128;'_Настройки'!$B$9)-AP128-AC128</f>
        <v/>
      </c>
      <c r="AR128" s="3">
        <f>IF(L128&gt;0;AQ128/L128;"")</f>
        <v/>
      </c>
      <c r="AS128" s="3">
        <f>IF(K128&gt;0;AQ128/K128;"")</f>
        <v/>
      </c>
      <c r="AT128" s="2">
        <f>L128-K128-AL128-AE128-IF(AM128&gt;0;AM128;'_Настройки'!$B$9)-AP128-AC128</f>
        <v/>
      </c>
      <c r="AU128" s="3">
        <f>IF(L128&gt;0;AT128/L128;"")</f>
        <v/>
      </c>
      <c r="AV128" s="3">
        <f>IF(K128&gt;0;AT128/K128;"")</f>
        <v/>
      </c>
    </row>
    <row r="129">
      <c r="A129">
        <f>ROW()-1</f>
        <v/>
      </c>
      <c r="K129" s="2">
        <f>IFERROR(INDEX('_Цены_закупки'!$B:$B;MATCH(C129;'_Цены_закупки'!$A:$A;0));"")</f>
        <v/>
      </c>
      <c r="L129" s="2" t="n"/>
      <c r="M129" s="2" t="n"/>
      <c r="N129" s="3">
        <f>IF(AND(M129&gt;0;L129&gt;0);1-L129/M129;"")</f>
        <v/>
      </c>
      <c r="O129" s="2">
        <f>IF(OR(Q129="";K129=0);"";(K129+IF(AM129&gt;0;AM129;'_Настройки'!$B$9)+AP129+AC129+Q129*K129)/(1-AH129-AD129))</f>
        <v/>
      </c>
      <c r="P129" s="2">
        <f>IF(O129="";"";O129-K129-O129*AH129-O129*AD129-IF(AM129&gt;0;AM129;'_Настройки'!$B$9)-AP129-AC129)</f>
        <v/>
      </c>
      <c r="Q129" s="3">
        <f>IF(AND(O129&gt;0;K129&gt;0);P129/K129;"")</f>
        <v/>
      </c>
      <c r="R129" s="2">
        <f>IF(O129="";"";O129-K129-O129*AK129-O129*AD129-IF(AM129&gt;0;AM129;'_Настройки'!$B$9)-AP129-AC129)</f>
        <v/>
      </c>
      <c r="S129" s="3">
        <f>IF(AND(O129&gt;0;K129&gt;0);R129/K129;"")</f>
        <v/>
      </c>
      <c r="T129" s="2" t="n"/>
      <c r="U129" s="3">
        <f>IF(AND(L129&gt;0;T129&gt;0);1-T129/L129;"")</f>
        <v/>
      </c>
      <c r="V129" s="3">
        <f>'_Настройки'!$B$4</f>
        <v/>
      </c>
      <c r="Z129" s="4">
        <f>IF(AND(W129&gt;0;X129&gt;0;Y129&gt;0);W129*X129*Y129/1000;"")</f>
        <v/>
      </c>
      <c r="AB129" s="2">
        <f>('_Настройки'!$B$6+MAX(0;Z129-1)*'_Настройки'!$B$7)*IF(AA129&gt;0;AA129;'_Настройки'!$B$10)</f>
        <v/>
      </c>
      <c r="AC129" s="2">
        <f>AB129*(1+'_Настройки'!$B$8)</f>
        <v/>
      </c>
      <c r="AD129" s="3">
        <f>'_Настройки'!$B$2</f>
        <v/>
      </c>
      <c r="AE129" s="2">
        <f>L129*AD129</f>
        <v/>
      </c>
      <c r="AF129" s="3">
        <f>'_Настройки'!$B$3</f>
        <v/>
      </c>
      <c r="AG129" s="3">
        <f>IFERROR(INDEX('_Комиссия_ВБ'!$B:$B;MATCH(C129;'_Комиссия_ВБ'!$A:$A;0));0,245)</f>
        <v/>
      </c>
      <c r="AH129" s="3">
        <f>AG129+AF129</f>
        <v/>
      </c>
      <c r="AI129" s="2">
        <f>L129*AH129</f>
        <v/>
      </c>
      <c r="AJ129" s="3">
        <f>IFERROR(INDEX('_Комиссия_ВБ'!$C:$C;MATCH(C129;'_Комиссия_ВБ'!$A:$A;0));0,28)</f>
        <v/>
      </c>
      <c r="AK129" s="3">
        <f>AJ129+AF129</f>
        <v/>
      </c>
      <c r="AL129" s="2">
        <f>L129*AK129</f>
        <v/>
      </c>
      <c r="AM129" s="2" t="n"/>
      <c r="AO129" s="3">
        <f>'_Настройки'!$B$5</f>
        <v/>
      </c>
      <c r="AP129" s="2">
        <f>IF(K129&gt;0;K129*AO129;0)</f>
        <v/>
      </c>
      <c r="AQ129" s="2">
        <f>L129-K129-AI129-AE129-IF(AM129&gt;0;AM129;'_Настройки'!$B$9)-AP129-AC129</f>
        <v/>
      </c>
      <c r="AR129" s="3">
        <f>IF(L129&gt;0;AQ129/L129;"")</f>
        <v/>
      </c>
      <c r="AS129" s="3">
        <f>IF(K129&gt;0;AQ129/K129;"")</f>
        <v/>
      </c>
      <c r="AT129" s="2">
        <f>L129-K129-AL129-AE129-IF(AM129&gt;0;AM129;'_Настройки'!$B$9)-AP129-AC129</f>
        <v/>
      </c>
      <c r="AU129" s="3">
        <f>IF(L129&gt;0;AT129/L129;"")</f>
        <v/>
      </c>
      <c r="AV129" s="3">
        <f>IF(K129&gt;0;AT129/K129;"")</f>
        <v/>
      </c>
    </row>
    <row r="130">
      <c r="A130">
        <f>ROW()-1</f>
        <v/>
      </c>
      <c r="K130" s="2">
        <f>IFERROR(INDEX('_Цены_закупки'!$B:$B;MATCH(C130;'_Цены_закупки'!$A:$A;0));"")</f>
        <v/>
      </c>
      <c r="L130" s="2" t="n"/>
      <c r="M130" s="2" t="n"/>
      <c r="N130" s="3">
        <f>IF(AND(M130&gt;0;L130&gt;0);1-L130/M130;"")</f>
        <v/>
      </c>
      <c r="O130" s="2">
        <f>IF(OR(Q130="";K130=0);"";(K130+IF(AM130&gt;0;AM130;'_Настройки'!$B$9)+AP130+AC130+Q130*K130)/(1-AH130-AD130))</f>
        <v/>
      </c>
      <c r="P130" s="2">
        <f>IF(O130="";"";O130-K130-O130*AH130-O130*AD130-IF(AM130&gt;0;AM130;'_Настройки'!$B$9)-AP130-AC130)</f>
        <v/>
      </c>
      <c r="Q130" s="3">
        <f>IF(AND(O130&gt;0;K130&gt;0);P130/K130;"")</f>
        <v/>
      </c>
      <c r="R130" s="2">
        <f>IF(O130="";"";O130-K130-O130*AK130-O130*AD130-IF(AM130&gt;0;AM130;'_Настройки'!$B$9)-AP130-AC130)</f>
        <v/>
      </c>
      <c r="S130" s="3">
        <f>IF(AND(O130&gt;0;K130&gt;0);R130/K130;"")</f>
        <v/>
      </c>
      <c r="T130" s="2" t="n"/>
      <c r="U130" s="3">
        <f>IF(AND(L130&gt;0;T130&gt;0);1-T130/L130;"")</f>
        <v/>
      </c>
      <c r="V130" s="3">
        <f>'_Настройки'!$B$4</f>
        <v/>
      </c>
      <c r="Z130" s="4">
        <f>IF(AND(W130&gt;0;X130&gt;0;Y130&gt;0);W130*X130*Y130/1000;"")</f>
        <v/>
      </c>
      <c r="AB130" s="2">
        <f>('_Настройки'!$B$6+MAX(0;Z130-1)*'_Настройки'!$B$7)*IF(AA130&gt;0;AA130;'_Настройки'!$B$10)</f>
        <v/>
      </c>
      <c r="AC130" s="2">
        <f>AB130*(1+'_Настройки'!$B$8)</f>
        <v/>
      </c>
      <c r="AD130" s="3">
        <f>'_Настройки'!$B$2</f>
        <v/>
      </c>
      <c r="AE130" s="2">
        <f>L130*AD130</f>
        <v/>
      </c>
      <c r="AF130" s="3">
        <f>'_Настройки'!$B$3</f>
        <v/>
      </c>
      <c r="AG130" s="3">
        <f>IFERROR(INDEX('_Комиссия_ВБ'!$B:$B;MATCH(C130;'_Комиссия_ВБ'!$A:$A;0));0,245)</f>
        <v/>
      </c>
      <c r="AH130" s="3">
        <f>AG130+AF130</f>
        <v/>
      </c>
      <c r="AI130" s="2">
        <f>L130*AH130</f>
        <v/>
      </c>
      <c r="AJ130" s="3">
        <f>IFERROR(INDEX('_Комиссия_ВБ'!$C:$C;MATCH(C130;'_Комиссия_ВБ'!$A:$A;0));0,28)</f>
        <v/>
      </c>
      <c r="AK130" s="3">
        <f>AJ130+AF130</f>
        <v/>
      </c>
      <c r="AL130" s="2">
        <f>L130*AK130</f>
        <v/>
      </c>
      <c r="AM130" s="2" t="n"/>
      <c r="AO130" s="3">
        <f>'_Настройки'!$B$5</f>
        <v/>
      </c>
      <c r="AP130" s="2">
        <f>IF(K130&gt;0;K130*AO130;0)</f>
        <v/>
      </c>
      <c r="AQ130" s="2">
        <f>L130-K130-AI130-AE130-IF(AM130&gt;0;AM130;'_Настройки'!$B$9)-AP130-AC130</f>
        <v/>
      </c>
      <c r="AR130" s="3">
        <f>IF(L130&gt;0;AQ130/L130;"")</f>
        <v/>
      </c>
      <c r="AS130" s="3">
        <f>IF(K130&gt;0;AQ130/K130;"")</f>
        <v/>
      </c>
      <c r="AT130" s="2">
        <f>L130-K130-AL130-AE130-IF(AM130&gt;0;AM130;'_Настройки'!$B$9)-AP130-AC130</f>
        <v/>
      </c>
      <c r="AU130" s="3">
        <f>IF(L130&gt;0;AT130/L130;"")</f>
        <v/>
      </c>
      <c r="AV130" s="3">
        <f>IF(K130&gt;0;AT130/K130;"")</f>
        <v/>
      </c>
    </row>
    <row r="131">
      <c r="A131">
        <f>ROW()-1</f>
        <v/>
      </c>
      <c r="K131" s="2">
        <f>IFERROR(INDEX('_Цены_закупки'!$B:$B;MATCH(C131;'_Цены_закупки'!$A:$A;0));"")</f>
        <v/>
      </c>
      <c r="L131" s="2" t="n"/>
      <c r="M131" s="2" t="n"/>
      <c r="N131" s="3">
        <f>IF(AND(M131&gt;0;L131&gt;0);1-L131/M131;"")</f>
        <v/>
      </c>
      <c r="O131" s="2">
        <f>IF(OR(Q131="";K131=0);"";(K131+IF(AM131&gt;0;AM131;'_Настройки'!$B$9)+AP131+AC131+Q131*K131)/(1-AH131-AD131))</f>
        <v/>
      </c>
      <c r="P131" s="2">
        <f>IF(O131="";"";O131-K131-O131*AH131-O131*AD131-IF(AM131&gt;0;AM131;'_Настройки'!$B$9)-AP131-AC131)</f>
        <v/>
      </c>
      <c r="Q131" s="3">
        <f>IF(AND(O131&gt;0;K131&gt;0);P131/K131;"")</f>
        <v/>
      </c>
      <c r="R131" s="2">
        <f>IF(O131="";"";O131-K131-O131*AK131-O131*AD131-IF(AM131&gt;0;AM131;'_Настройки'!$B$9)-AP131-AC131)</f>
        <v/>
      </c>
      <c r="S131" s="3">
        <f>IF(AND(O131&gt;0;K131&gt;0);R131/K131;"")</f>
        <v/>
      </c>
      <c r="T131" s="2" t="n"/>
      <c r="U131" s="3">
        <f>IF(AND(L131&gt;0;T131&gt;0);1-T131/L131;"")</f>
        <v/>
      </c>
      <c r="V131" s="3">
        <f>'_Настройки'!$B$4</f>
        <v/>
      </c>
      <c r="Z131" s="4">
        <f>IF(AND(W131&gt;0;X131&gt;0;Y131&gt;0);W131*X131*Y131/1000;"")</f>
        <v/>
      </c>
      <c r="AB131" s="2">
        <f>('_Настройки'!$B$6+MAX(0;Z131-1)*'_Настройки'!$B$7)*IF(AA131&gt;0;AA131;'_Настройки'!$B$10)</f>
        <v/>
      </c>
      <c r="AC131" s="2">
        <f>AB131*(1+'_Настройки'!$B$8)</f>
        <v/>
      </c>
      <c r="AD131" s="3">
        <f>'_Настройки'!$B$2</f>
        <v/>
      </c>
      <c r="AE131" s="2">
        <f>L131*AD131</f>
        <v/>
      </c>
      <c r="AF131" s="3">
        <f>'_Настройки'!$B$3</f>
        <v/>
      </c>
      <c r="AG131" s="3">
        <f>IFERROR(INDEX('_Комиссия_ВБ'!$B:$B;MATCH(C131;'_Комиссия_ВБ'!$A:$A;0));0,245)</f>
        <v/>
      </c>
      <c r="AH131" s="3">
        <f>AG131+AF131</f>
        <v/>
      </c>
      <c r="AI131" s="2">
        <f>L131*AH131</f>
        <v/>
      </c>
      <c r="AJ131" s="3">
        <f>IFERROR(INDEX('_Комиссия_ВБ'!$C:$C;MATCH(C131;'_Комиссия_ВБ'!$A:$A;0));0,28)</f>
        <v/>
      </c>
      <c r="AK131" s="3">
        <f>AJ131+AF131</f>
        <v/>
      </c>
      <c r="AL131" s="2">
        <f>L131*AK131</f>
        <v/>
      </c>
      <c r="AM131" s="2" t="n"/>
      <c r="AO131" s="3">
        <f>'_Настройки'!$B$5</f>
        <v/>
      </c>
      <c r="AP131" s="2">
        <f>IF(K131&gt;0;K131*AO131;0)</f>
        <v/>
      </c>
      <c r="AQ131" s="2">
        <f>L131-K131-AI131-AE131-IF(AM131&gt;0;AM131;'_Настройки'!$B$9)-AP131-AC131</f>
        <v/>
      </c>
      <c r="AR131" s="3">
        <f>IF(L131&gt;0;AQ131/L131;"")</f>
        <v/>
      </c>
      <c r="AS131" s="3">
        <f>IF(K131&gt;0;AQ131/K131;"")</f>
        <v/>
      </c>
      <c r="AT131" s="2">
        <f>L131-K131-AL131-AE131-IF(AM131&gt;0;AM131;'_Настройки'!$B$9)-AP131-AC131</f>
        <v/>
      </c>
      <c r="AU131" s="3">
        <f>IF(L131&gt;0;AT131/L131;"")</f>
        <v/>
      </c>
      <c r="AV131" s="3">
        <f>IF(K131&gt;0;AT131/K131;"")</f>
        <v/>
      </c>
    </row>
    <row r="132">
      <c r="A132">
        <f>ROW()-1</f>
        <v/>
      </c>
      <c r="K132" s="2">
        <f>IFERROR(INDEX('_Цены_закупки'!$B:$B;MATCH(C132;'_Цены_закупки'!$A:$A;0));"")</f>
        <v/>
      </c>
      <c r="L132" s="2" t="n"/>
      <c r="M132" s="2" t="n"/>
      <c r="N132" s="3">
        <f>IF(AND(M132&gt;0;L132&gt;0);1-L132/M132;"")</f>
        <v/>
      </c>
      <c r="O132" s="2">
        <f>IF(OR(Q132="";K132=0);"";(K132+IF(AM132&gt;0;AM132;'_Настройки'!$B$9)+AP132+AC132+Q132*K132)/(1-AH132-AD132))</f>
        <v/>
      </c>
      <c r="P132" s="2">
        <f>IF(O132="";"";O132-K132-O132*AH132-O132*AD132-IF(AM132&gt;0;AM132;'_Настройки'!$B$9)-AP132-AC132)</f>
        <v/>
      </c>
      <c r="Q132" s="3">
        <f>IF(AND(O132&gt;0;K132&gt;0);P132/K132;"")</f>
        <v/>
      </c>
      <c r="R132" s="2">
        <f>IF(O132="";"";O132-K132-O132*AK132-O132*AD132-IF(AM132&gt;0;AM132;'_Настройки'!$B$9)-AP132-AC132)</f>
        <v/>
      </c>
      <c r="S132" s="3">
        <f>IF(AND(O132&gt;0;K132&gt;0);R132/K132;"")</f>
        <v/>
      </c>
      <c r="T132" s="2" t="n"/>
      <c r="U132" s="3">
        <f>IF(AND(L132&gt;0;T132&gt;0);1-T132/L132;"")</f>
        <v/>
      </c>
      <c r="V132" s="3">
        <f>'_Настройки'!$B$4</f>
        <v/>
      </c>
      <c r="Z132" s="4">
        <f>IF(AND(W132&gt;0;X132&gt;0;Y132&gt;0);W132*X132*Y132/1000;"")</f>
        <v/>
      </c>
      <c r="AB132" s="2">
        <f>('_Настройки'!$B$6+MAX(0;Z132-1)*'_Настройки'!$B$7)*IF(AA132&gt;0;AA132;'_Настройки'!$B$10)</f>
        <v/>
      </c>
      <c r="AC132" s="2">
        <f>AB132*(1+'_Настройки'!$B$8)</f>
        <v/>
      </c>
      <c r="AD132" s="3">
        <f>'_Настройки'!$B$2</f>
        <v/>
      </c>
      <c r="AE132" s="2">
        <f>L132*AD132</f>
        <v/>
      </c>
      <c r="AF132" s="3">
        <f>'_Настройки'!$B$3</f>
        <v/>
      </c>
      <c r="AG132" s="3">
        <f>IFERROR(INDEX('_Комиссия_ВБ'!$B:$B;MATCH(C132;'_Комиссия_ВБ'!$A:$A;0));0,245)</f>
        <v/>
      </c>
      <c r="AH132" s="3">
        <f>AG132+AF132</f>
        <v/>
      </c>
      <c r="AI132" s="2">
        <f>L132*AH132</f>
        <v/>
      </c>
      <c r="AJ132" s="3">
        <f>IFERROR(INDEX('_Комиссия_ВБ'!$C:$C;MATCH(C132;'_Комиссия_ВБ'!$A:$A;0));0,28)</f>
        <v/>
      </c>
      <c r="AK132" s="3">
        <f>AJ132+AF132</f>
        <v/>
      </c>
      <c r="AL132" s="2">
        <f>L132*AK132</f>
        <v/>
      </c>
      <c r="AM132" s="2" t="n"/>
      <c r="AO132" s="3">
        <f>'_Настройки'!$B$5</f>
        <v/>
      </c>
      <c r="AP132" s="2">
        <f>IF(K132&gt;0;K132*AO132;0)</f>
        <v/>
      </c>
      <c r="AQ132" s="2">
        <f>L132-K132-AI132-AE132-IF(AM132&gt;0;AM132;'_Настройки'!$B$9)-AP132-AC132</f>
        <v/>
      </c>
      <c r="AR132" s="3">
        <f>IF(L132&gt;0;AQ132/L132;"")</f>
        <v/>
      </c>
      <c r="AS132" s="3">
        <f>IF(K132&gt;0;AQ132/K132;"")</f>
        <v/>
      </c>
      <c r="AT132" s="2">
        <f>L132-K132-AL132-AE132-IF(AM132&gt;0;AM132;'_Настройки'!$B$9)-AP132-AC132</f>
        <v/>
      </c>
      <c r="AU132" s="3">
        <f>IF(L132&gt;0;AT132/L132;"")</f>
        <v/>
      </c>
      <c r="AV132" s="3">
        <f>IF(K132&gt;0;AT132/K132;"")</f>
        <v/>
      </c>
    </row>
    <row r="133">
      <c r="A133">
        <f>ROW()-1</f>
        <v/>
      </c>
      <c r="K133" s="2">
        <f>IFERROR(INDEX('_Цены_закупки'!$B:$B;MATCH(C133;'_Цены_закупки'!$A:$A;0));"")</f>
        <v/>
      </c>
      <c r="L133" s="2" t="n"/>
      <c r="M133" s="2" t="n"/>
      <c r="N133" s="3">
        <f>IF(AND(M133&gt;0;L133&gt;0);1-L133/M133;"")</f>
        <v/>
      </c>
      <c r="O133" s="2">
        <f>IF(OR(Q133="";K133=0);"";(K133+IF(AM133&gt;0;AM133;'_Настройки'!$B$9)+AP133+AC133+Q133*K133)/(1-AH133-AD133))</f>
        <v/>
      </c>
      <c r="P133" s="2">
        <f>IF(O133="";"";O133-K133-O133*AH133-O133*AD133-IF(AM133&gt;0;AM133;'_Настройки'!$B$9)-AP133-AC133)</f>
        <v/>
      </c>
      <c r="Q133" s="3">
        <f>IF(AND(O133&gt;0;K133&gt;0);P133/K133;"")</f>
        <v/>
      </c>
      <c r="R133" s="2">
        <f>IF(O133="";"";O133-K133-O133*AK133-O133*AD133-IF(AM133&gt;0;AM133;'_Настройки'!$B$9)-AP133-AC133)</f>
        <v/>
      </c>
      <c r="S133" s="3">
        <f>IF(AND(O133&gt;0;K133&gt;0);R133/K133;"")</f>
        <v/>
      </c>
      <c r="T133" s="2" t="n"/>
      <c r="U133" s="3">
        <f>IF(AND(L133&gt;0;T133&gt;0);1-T133/L133;"")</f>
        <v/>
      </c>
      <c r="V133" s="3">
        <f>'_Настройки'!$B$4</f>
        <v/>
      </c>
      <c r="Z133" s="4">
        <f>IF(AND(W133&gt;0;X133&gt;0;Y133&gt;0);W133*X133*Y133/1000;"")</f>
        <v/>
      </c>
      <c r="AB133" s="2">
        <f>('_Настройки'!$B$6+MAX(0;Z133-1)*'_Настройки'!$B$7)*IF(AA133&gt;0;AA133;'_Настройки'!$B$10)</f>
        <v/>
      </c>
      <c r="AC133" s="2">
        <f>AB133*(1+'_Настройки'!$B$8)</f>
        <v/>
      </c>
      <c r="AD133" s="3">
        <f>'_Настройки'!$B$2</f>
        <v/>
      </c>
      <c r="AE133" s="2">
        <f>L133*AD133</f>
        <v/>
      </c>
      <c r="AF133" s="3">
        <f>'_Настройки'!$B$3</f>
        <v/>
      </c>
      <c r="AG133" s="3">
        <f>IFERROR(INDEX('_Комиссия_ВБ'!$B:$B;MATCH(C133;'_Комиссия_ВБ'!$A:$A;0));0,245)</f>
        <v/>
      </c>
      <c r="AH133" s="3">
        <f>AG133+AF133</f>
        <v/>
      </c>
      <c r="AI133" s="2">
        <f>L133*AH133</f>
        <v/>
      </c>
      <c r="AJ133" s="3">
        <f>IFERROR(INDEX('_Комиссия_ВБ'!$C:$C;MATCH(C133;'_Комиссия_ВБ'!$A:$A;0));0,28)</f>
        <v/>
      </c>
      <c r="AK133" s="3">
        <f>AJ133+AF133</f>
        <v/>
      </c>
      <c r="AL133" s="2">
        <f>L133*AK133</f>
        <v/>
      </c>
      <c r="AM133" s="2" t="n"/>
      <c r="AO133" s="3">
        <f>'_Настройки'!$B$5</f>
        <v/>
      </c>
      <c r="AP133" s="2">
        <f>IF(K133&gt;0;K133*AO133;0)</f>
        <v/>
      </c>
      <c r="AQ133" s="2">
        <f>L133-K133-AI133-AE133-IF(AM133&gt;0;AM133;'_Настройки'!$B$9)-AP133-AC133</f>
        <v/>
      </c>
      <c r="AR133" s="3">
        <f>IF(L133&gt;0;AQ133/L133;"")</f>
        <v/>
      </c>
      <c r="AS133" s="3">
        <f>IF(K133&gt;0;AQ133/K133;"")</f>
        <v/>
      </c>
      <c r="AT133" s="2">
        <f>L133-K133-AL133-AE133-IF(AM133&gt;0;AM133;'_Настройки'!$B$9)-AP133-AC133</f>
        <v/>
      </c>
      <c r="AU133" s="3">
        <f>IF(L133&gt;0;AT133/L133;"")</f>
        <v/>
      </c>
      <c r="AV133" s="3">
        <f>IF(K133&gt;0;AT133/K133;"")</f>
        <v/>
      </c>
    </row>
    <row r="134">
      <c r="A134">
        <f>ROW()-1</f>
        <v/>
      </c>
      <c r="K134" s="2">
        <f>IFERROR(INDEX('_Цены_закупки'!$B:$B;MATCH(C134;'_Цены_закупки'!$A:$A;0));"")</f>
        <v/>
      </c>
      <c r="L134" s="2" t="n"/>
      <c r="M134" s="2" t="n"/>
      <c r="N134" s="3">
        <f>IF(AND(M134&gt;0;L134&gt;0);1-L134/M134;"")</f>
        <v/>
      </c>
      <c r="O134" s="2">
        <f>IF(OR(Q134="";K134=0);"";(K134+IF(AM134&gt;0;AM134;'_Настройки'!$B$9)+AP134+AC134+Q134*K134)/(1-AH134-AD134))</f>
        <v/>
      </c>
      <c r="P134" s="2">
        <f>IF(O134="";"";O134-K134-O134*AH134-O134*AD134-IF(AM134&gt;0;AM134;'_Настройки'!$B$9)-AP134-AC134)</f>
        <v/>
      </c>
      <c r="Q134" s="3">
        <f>IF(AND(O134&gt;0;K134&gt;0);P134/K134;"")</f>
        <v/>
      </c>
      <c r="R134" s="2">
        <f>IF(O134="";"";O134-K134-O134*AK134-O134*AD134-IF(AM134&gt;0;AM134;'_Настройки'!$B$9)-AP134-AC134)</f>
        <v/>
      </c>
      <c r="S134" s="3">
        <f>IF(AND(O134&gt;0;K134&gt;0);R134/K134;"")</f>
        <v/>
      </c>
      <c r="T134" s="2" t="n"/>
      <c r="U134" s="3">
        <f>IF(AND(L134&gt;0;T134&gt;0);1-T134/L134;"")</f>
        <v/>
      </c>
      <c r="V134" s="3">
        <f>'_Настройки'!$B$4</f>
        <v/>
      </c>
      <c r="Z134" s="4">
        <f>IF(AND(W134&gt;0;X134&gt;0;Y134&gt;0);W134*X134*Y134/1000;"")</f>
        <v/>
      </c>
      <c r="AB134" s="2">
        <f>('_Настройки'!$B$6+MAX(0;Z134-1)*'_Настройки'!$B$7)*IF(AA134&gt;0;AA134;'_Настройки'!$B$10)</f>
        <v/>
      </c>
      <c r="AC134" s="2">
        <f>AB134*(1+'_Настройки'!$B$8)</f>
        <v/>
      </c>
      <c r="AD134" s="3">
        <f>'_Настройки'!$B$2</f>
        <v/>
      </c>
      <c r="AE134" s="2">
        <f>L134*AD134</f>
        <v/>
      </c>
      <c r="AF134" s="3">
        <f>'_Настройки'!$B$3</f>
        <v/>
      </c>
      <c r="AG134" s="3">
        <f>IFERROR(INDEX('_Комиссия_ВБ'!$B:$B;MATCH(C134;'_Комиссия_ВБ'!$A:$A;0));0,245)</f>
        <v/>
      </c>
      <c r="AH134" s="3">
        <f>AG134+AF134</f>
        <v/>
      </c>
      <c r="AI134" s="2">
        <f>L134*AH134</f>
        <v/>
      </c>
      <c r="AJ134" s="3">
        <f>IFERROR(INDEX('_Комиссия_ВБ'!$C:$C;MATCH(C134;'_Комиссия_ВБ'!$A:$A;0));0,28)</f>
        <v/>
      </c>
      <c r="AK134" s="3">
        <f>AJ134+AF134</f>
        <v/>
      </c>
      <c r="AL134" s="2">
        <f>L134*AK134</f>
        <v/>
      </c>
      <c r="AM134" s="2" t="n"/>
      <c r="AO134" s="3">
        <f>'_Настройки'!$B$5</f>
        <v/>
      </c>
      <c r="AP134" s="2">
        <f>IF(K134&gt;0;K134*AO134;0)</f>
        <v/>
      </c>
      <c r="AQ134" s="2">
        <f>L134-K134-AI134-AE134-IF(AM134&gt;0;AM134;'_Настройки'!$B$9)-AP134-AC134</f>
        <v/>
      </c>
      <c r="AR134" s="3">
        <f>IF(L134&gt;0;AQ134/L134;"")</f>
        <v/>
      </c>
      <c r="AS134" s="3">
        <f>IF(K134&gt;0;AQ134/K134;"")</f>
        <v/>
      </c>
      <c r="AT134" s="2">
        <f>L134-K134-AL134-AE134-IF(AM134&gt;0;AM134;'_Настройки'!$B$9)-AP134-AC134</f>
        <v/>
      </c>
      <c r="AU134" s="3">
        <f>IF(L134&gt;0;AT134/L134;"")</f>
        <v/>
      </c>
      <c r="AV134" s="3">
        <f>IF(K134&gt;0;AT134/K134;"")</f>
        <v/>
      </c>
    </row>
    <row r="135">
      <c r="A135">
        <f>ROW()-1</f>
        <v/>
      </c>
      <c r="K135" s="2">
        <f>IFERROR(INDEX('_Цены_закупки'!$B:$B;MATCH(C135;'_Цены_закупки'!$A:$A;0));"")</f>
        <v/>
      </c>
      <c r="L135" s="2" t="n"/>
      <c r="M135" s="2" t="n"/>
      <c r="N135" s="3">
        <f>IF(AND(M135&gt;0;L135&gt;0);1-L135/M135;"")</f>
        <v/>
      </c>
      <c r="O135" s="2">
        <f>IF(OR(Q135="";K135=0);"";(K135+IF(AM135&gt;0;AM135;'_Настройки'!$B$9)+AP135+AC135+Q135*K135)/(1-AH135-AD135))</f>
        <v/>
      </c>
      <c r="P135" s="2">
        <f>IF(O135="";"";O135-K135-O135*AH135-O135*AD135-IF(AM135&gt;0;AM135;'_Настройки'!$B$9)-AP135-AC135)</f>
        <v/>
      </c>
      <c r="Q135" s="3">
        <f>IF(AND(O135&gt;0;K135&gt;0);P135/K135;"")</f>
        <v/>
      </c>
      <c r="R135" s="2">
        <f>IF(O135="";"";O135-K135-O135*AK135-O135*AD135-IF(AM135&gt;0;AM135;'_Настройки'!$B$9)-AP135-AC135)</f>
        <v/>
      </c>
      <c r="S135" s="3">
        <f>IF(AND(O135&gt;0;K135&gt;0);R135/K135;"")</f>
        <v/>
      </c>
      <c r="T135" s="2" t="n"/>
      <c r="U135" s="3">
        <f>IF(AND(L135&gt;0;T135&gt;0);1-T135/L135;"")</f>
        <v/>
      </c>
      <c r="V135" s="3">
        <f>'_Настройки'!$B$4</f>
        <v/>
      </c>
      <c r="Z135" s="4">
        <f>IF(AND(W135&gt;0;X135&gt;0;Y135&gt;0);W135*X135*Y135/1000;"")</f>
        <v/>
      </c>
      <c r="AB135" s="2">
        <f>('_Настройки'!$B$6+MAX(0;Z135-1)*'_Настройки'!$B$7)*IF(AA135&gt;0;AA135;'_Настройки'!$B$10)</f>
        <v/>
      </c>
      <c r="AC135" s="2">
        <f>AB135*(1+'_Настройки'!$B$8)</f>
        <v/>
      </c>
      <c r="AD135" s="3">
        <f>'_Настройки'!$B$2</f>
        <v/>
      </c>
      <c r="AE135" s="2">
        <f>L135*AD135</f>
        <v/>
      </c>
      <c r="AF135" s="3">
        <f>'_Настройки'!$B$3</f>
        <v/>
      </c>
      <c r="AG135" s="3">
        <f>IFERROR(INDEX('_Комиссия_ВБ'!$B:$B;MATCH(C135;'_Комиссия_ВБ'!$A:$A;0));0,245)</f>
        <v/>
      </c>
      <c r="AH135" s="3">
        <f>AG135+AF135</f>
        <v/>
      </c>
      <c r="AI135" s="2">
        <f>L135*AH135</f>
        <v/>
      </c>
      <c r="AJ135" s="3">
        <f>IFERROR(INDEX('_Комиссия_ВБ'!$C:$C;MATCH(C135;'_Комиссия_ВБ'!$A:$A;0));0,28)</f>
        <v/>
      </c>
      <c r="AK135" s="3">
        <f>AJ135+AF135</f>
        <v/>
      </c>
      <c r="AL135" s="2">
        <f>L135*AK135</f>
        <v/>
      </c>
      <c r="AM135" s="2" t="n"/>
      <c r="AO135" s="3">
        <f>'_Настройки'!$B$5</f>
        <v/>
      </c>
      <c r="AP135" s="2">
        <f>IF(K135&gt;0;K135*AO135;0)</f>
        <v/>
      </c>
      <c r="AQ135" s="2">
        <f>L135-K135-AI135-AE135-IF(AM135&gt;0;AM135;'_Настройки'!$B$9)-AP135-AC135</f>
        <v/>
      </c>
      <c r="AR135" s="3">
        <f>IF(L135&gt;0;AQ135/L135;"")</f>
        <v/>
      </c>
      <c r="AS135" s="3">
        <f>IF(K135&gt;0;AQ135/K135;"")</f>
        <v/>
      </c>
      <c r="AT135" s="2">
        <f>L135-K135-AL135-AE135-IF(AM135&gt;0;AM135;'_Настройки'!$B$9)-AP135-AC135</f>
        <v/>
      </c>
      <c r="AU135" s="3">
        <f>IF(L135&gt;0;AT135/L135;"")</f>
        <v/>
      </c>
      <c r="AV135" s="3">
        <f>IF(K135&gt;0;AT135/K135;"")</f>
        <v/>
      </c>
    </row>
    <row r="136">
      <c r="A136">
        <f>ROW()-1</f>
        <v/>
      </c>
      <c r="K136" s="2">
        <f>IFERROR(INDEX('_Цены_закупки'!$B:$B;MATCH(C136;'_Цены_закупки'!$A:$A;0));"")</f>
        <v/>
      </c>
      <c r="L136" s="2" t="n"/>
      <c r="M136" s="2" t="n"/>
      <c r="N136" s="3">
        <f>IF(AND(M136&gt;0;L136&gt;0);1-L136/M136;"")</f>
        <v/>
      </c>
      <c r="O136" s="2">
        <f>IF(OR(Q136="";K136=0);"";(K136+IF(AM136&gt;0;AM136;'_Настройки'!$B$9)+AP136+AC136+Q136*K136)/(1-AH136-AD136))</f>
        <v/>
      </c>
      <c r="P136" s="2">
        <f>IF(O136="";"";O136-K136-O136*AH136-O136*AD136-IF(AM136&gt;0;AM136;'_Настройки'!$B$9)-AP136-AC136)</f>
        <v/>
      </c>
      <c r="Q136" s="3">
        <f>IF(AND(O136&gt;0;K136&gt;0);P136/K136;"")</f>
        <v/>
      </c>
      <c r="R136" s="2">
        <f>IF(O136="";"";O136-K136-O136*AK136-O136*AD136-IF(AM136&gt;0;AM136;'_Настройки'!$B$9)-AP136-AC136)</f>
        <v/>
      </c>
      <c r="S136" s="3">
        <f>IF(AND(O136&gt;0;K136&gt;0);R136/K136;"")</f>
        <v/>
      </c>
      <c r="T136" s="2" t="n"/>
      <c r="U136" s="3">
        <f>IF(AND(L136&gt;0;T136&gt;0);1-T136/L136;"")</f>
        <v/>
      </c>
      <c r="V136" s="3">
        <f>'_Настройки'!$B$4</f>
        <v/>
      </c>
      <c r="Z136" s="4">
        <f>IF(AND(W136&gt;0;X136&gt;0;Y136&gt;0);W136*X136*Y136/1000;"")</f>
        <v/>
      </c>
      <c r="AB136" s="2">
        <f>('_Настройки'!$B$6+MAX(0;Z136-1)*'_Настройки'!$B$7)*IF(AA136&gt;0;AA136;'_Настройки'!$B$10)</f>
        <v/>
      </c>
      <c r="AC136" s="2">
        <f>AB136*(1+'_Настройки'!$B$8)</f>
        <v/>
      </c>
      <c r="AD136" s="3">
        <f>'_Настройки'!$B$2</f>
        <v/>
      </c>
      <c r="AE136" s="2">
        <f>L136*AD136</f>
        <v/>
      </c>
      <c r="AF136" s="3">
        <f>'_Настройки'!$B$3</f>
        <v/>
      </c>
      <c r="AG136" s="3">
        <f>IFERROR(INDEX('_Комиссия_ВБ'!$B:$B;MATCH(C136;'_Комиссия_ВБ'!$A:$A;0));0,245)</f>
        <v/>
      </c>
      <c r="AH136" s="3">
        <f>AG136+AF136</f>
        <v/>
      </c>
      <c r="AI136" s="2">
        <f>L136*AH136</f>
        <v/>
      </c>
      <c r="AJ136" s="3">
        <f>IFERROR(INDEX('_Комиссия_ВБ'!$C:$C;MATCH(C136;'_Комиссия_ВБ'!$A:$A;0));0,28)</f>
        <v/>
      </c>
      <c r="AK136" s="3">
        <f>AJ136+AF136</f>
        <v/>
      </c>
      <c r="AL136" s="2">
        <f>L136*AK136</f>
        <v/>
      </c>
      <c r="AM136" s="2" t="n"/>
      <c r="AO136" s="3">
        <f>'_Настройки'!$B$5</f>
        <v/>
      </c>
      <c r="AP136" s="2">
        <f>IF(K136&gt;0;K136*AO136;0)</f>
        <v/>
      </c>
      <c r="AQ136" s="2">
        <f>L136-K136-AI136-AE136-IF(AM136&gt;0;AM136;'_Настройки'!$B$9)-AP136-AC136</f>
        <v/>
      </c>
      <c r="AR136" s="3">
        <f>IF(L136&gt;0;AQ136/L136;"")</f>
        <v/>
      </c>
      <c r="AS136" s="3">
        <f>IF(K136&gt;0;AQ136/K136;"")</f>
        <v/>
      </c>
      <c r="AT136" s="2">
        <f>L136-K136-AL136-AE136-IF(AM136&gt;0;AM136;'_Настройки'!$B$9)-AP136-AC136</f>
        <v/>
      </c>
      <c r="AU136" s="3">
        <f>IF(L136&gt;0;AT136/L136;"")</f>
        <v/>
      </c>
      <c r="AV136" s="3">
        <f>IF(K136&gt;0;AT136/K136;"")</f>
        <v/>
      </c>
    </row>
    <row r="137">
      <c r="A137">
        <f>ROW()-1</f>
        <v/>
      </c>
      <c r="K137" s="2">
        <f>IFERROR(INDEX('_Цены_закупки'!$B:$B;MATCH(C137;'_Цены_закупки'!$A:$A;0));"")</f>
        <v/>
      </c>
      <c r="L137" s="2" t="n"/>
      <c r="M137" s="2" t="n"/>
      <c r="N137" s="3">
        <f>IF(AND(M137&gt;0;L137&gt;0);1-L137/M137;"")</f>
        <v/>
      </c>
      <c r="O137" s="2">
        <f>IF(OR(Q137="";K137=0);"";(K137+IF(AM137&gt;0;AM137;'_Настройки'!$B$9)+AP137+AC137+Q137*K137)/(1-AH137-AD137))</f>
        <v/>
      </c>
      <c r="P137" s="2">
        <f>IF(O137="";"";O137-K137-O137*AH137-O137*AD137-IF(AM137&gt;0;AM137;'_Настройки'!$B$9)-AP137-AC137)</f>
        <v/>
      </c>
      <c r="Q137" s="3">
        <f>IF(AND(O137&gt;0;K137&gt;0);P137/K137;"")</f>
        <v/>
      </c>
      <c r="R137" s="2">
        <f>IF(O137="";"";O137-K137-O137*AK137-O137*AD137-IF(AM137&gt;0;AM137;'_Настройки'!$B$9)-AP137-AC137)</f>
        <v/>
      </c>
      <c r="S137" s="3">
        <f>IF(AND(O137&gt;0;K137&gt;0);R137/K137;"")</f>
        <v/>
      </c>
      <c r="T137" s="2" t="n"/>
      <c r="U137" s="3">
        <f>IF(AND(L137&gt;0;T137&gt;0);1-T137/L137;"")</f>
        <v/>
      </c>
      <c r="V137" s="3">
        <f>'_Настройки'!$B$4</f>
        <v/>
      </c>
      <c r="Z137" s="4">
        <f>IF(AND(W137&gt;0;X137&gt;0;Y137&gt;0);W137*X137*Y137/1000;"")</f>
        <v/>
      </c>
      <c r="AB137" s="2">
        <f>('_Настройки'!$B$6+MAX(0;Z137-1)*'_Настройки'!$B$7)*IF(AA137&gt;0;AA137;'_Настройки'!$B$10)</f>
        <v/>
      </c>
      <c r="AC137" s="2">
        <f>AB137*(1+'_Настройки'!$B$8)</f>
        <v/>
      </c>
      <c r="AD137" s="3">
        <f>'_Настройки'!$B$2</f>
        <v/>
      </c>
      <c r="AE137" s="2">
        <f>L137*AD137</f>
        <v/>
      </c>
      <c r="AF137" s="3">
        <f>'_Настройки'!$B$3</f>
        <v/>
      </c>
      <c r="AG137" s="3">
        <f>IFERROR(INDEX('_Комиссия_ВБ'!$B:$B;MATCH(C137;'_Комиссия_ВБ'!$A:$A;0));0,245)</f>
        <v/>
      </c>
      <c r="AH137" s="3">
        <f>AG137+AF137</f>
        <v/>
      </c>
      <c r="AI137" s="2">
        <f>L137*AH137</f>
        <v/>
      </c>
      <c r="AJ137" s="3">
        <f>IFERROR(INDEX('_Комиссия_ВБ'!$C:$C;MATCH(C137;'_Комиссия_ВБ'!$A:$A;0));0,28)</f>
        <v/>
      </c>
      <c r="AK137" s="3">
        <f>AJ137+AF137</f>
        <v/>
      </c>
      <c r="AL137" s="2">
        <f>L137*AK137</f>
        <v/>
      </c>
      <c r="AM137" s="2" t="n"/>
      <c r="AO137" s="3">
        <f>'_Настройки'!$B$5</f>
        <v/>
      </c>
      <c r="AP137" s="2">
        <f>IF(K137&gt;0;K137*AO137;0)</f>
        <v/>
      </c>
      <c r="AQ137" s="2">
        <f>L137-K137-AI137-AE137-IF(AM137&gt;0;AM137;'_Настройки'!$B$9)-AP137-AC137</f>
        <v/>
      </c>
      <c r="AR137" s="3">
        <f>IF(L137&gt;0;AQ137/L137;"")</f>
        <v/>
      </c>
      <c r="AS137" s="3">
        <f>IF(K137&gt;0;AQ137/K137;"")</f>
        <v/>
      </c>
      <c r="AT137" s="2">
        <f>L137-K137-AL137-AE137-IF(AM137&gt;0;AM137;'_Настройки'!$B$9)-AP137-AC137</f>
        <v/>
      </c>
      <c r="AU137" s="3">
        <f>IF(L137&gt;0;AT137/L137;"")</f>
        <v/>
      </c>
      <c r="AV137" s="3">
        <f>IF(K137&gt;0;AT137/K137;"")</f>
        <v/>
      </c>
    </row>
    <row r="138">
      <c r="A138">
        <f>ROW()-1</f>
        <v/>
      </c>
      <c r="K138" s="2">
        <f>IFERROR(INDEX('_Цены_закупки'!$B:$B;MATCH(C138;'_Цены_закупки'!$A:$A;0));"")</f>
        <v/>
      </c>
      <c r="L138" s="2" t="n"/>
      <c r="M138" s="2" t="n"/>
      <c r="N138" s="3">
        <f>IF(AND(M138&gt;0;L138&gt;0);1-L138/M138;"")</f>
        <v/>
      </c>
      <c r="O138" s="2">
        <f>IF(OR(Q138="";K138=0);"";(K138+IF(AM138&gt;0;AM138;'_Настройки'!$B$9)+AP138+AC138+Q138*K138)/(1-AH138-AD138))</f>
        <v/>
      </c>
      <c r="P138" s="2">
        <f>IF(O138="";"";O138-K138-O138*AH138-O138*AD138-IF(AM138&gt;0;AM138;'_Настройки'!$B$9)-AP138-AC138)</f>
        <v/>
      </c>
      <c r="Q138" s="3">
        <f>IF(AND(O138&gt;0;K138&gt;0);P138/K138;"")</f>
        <v/>
      </c>
      <c r="R138" s="2">
        <f>IF(O138="";"";O138-K138-O138*AK138-O138*AD138-IF(AM138&gt;0;AM138;'_Настройки'!$B$9)-AP138-AC138)</f>
        <v/>
      </c>
      <c r="S138" s="3">
        <f>IF(AND(O138&gt;0;K138&gt;0);R138/K138;"")</f>
        <v/>
      </c>
      <c r="T138" s="2" t="n"/>
      <c r="U138" s="3">
        <f>IF(AND(L138&gt;0;T138&gt;0);1-T138/L138;"")</f>
        <v/>
      </c>
      <c r="V138" s="3">
        <f>'_Настройки'!$B$4</f>
        <v/>
      </c>
      <c r="Z138" s="4">
        <f>IF(AND(W138&gt;0;X138&gt;0;Y138&gt;0);W138*X138*Y138/1000;"")</f>
        <v/>
      </c>
      <c r="AB138" s="2">
        <f>('_Настройки'!$B$6+MAX(0;Z138-1)*'_Настройки'!$B$7)*IF(AA138&gt;0;AA138;'_Настройки'!$B$10)</f>
        <v/>
      </c>
      <c r="AC138" s="2">
        <f>AB138*(1+'_Настройки'!$B$8)</f>
        <v/>
      </c>
      <c r="AD138" s="3">
        <f>'_Настройки'!$B$2</f>
        <v/>
      </c>
      <c r="AE138" s="2">
        <f>L138*AD138</f>
        <v/>
      </c>
      <c r="AF138" s="3">
        <f>'_Настройки'!$B$3</f>
        <v/>
      </c>
      <c r="AG138" s="3">
        <f>IFERROR(INDEX('_Комиссия_ВБ'!$B:$B;MATCH(C138;'_Комиссия_ВБ'!$A:$A;0));0,245)</f>
        <v/>
      </c>
      <c r="AH138" s="3">
        <f>AG138+AF138</f>
        <v/>
      </c>
      <c r="AI138" s="2">
        <f>L138*AH138</f>
        <v/>
      </c>
      <c r="AJ138" s="3">
        <f>IFERROR(INDEX('_Комиссия_ВБ'!$C:$C;MATCH(C138;'_Комиссия_ВБ'!$A:$A;0));0,28)</f>
        <v/>
      </c>
      <c r="AK138" s="3">
        <f>AJ138+AF138</f>
        <v/>
      </c>
      <c r="AL138" s="2">
        <f>L138*AK138</f>
        <v/>
      </c>
      <c r="AM138" s="2" t="n"/>
      <c r="AO138" s="3">
        <f>'_Настройки'!$B$5</f>
        <v/>
      </c>
      <c r="AP138" s="2">
        <f>IF(K138&gt;0;K138*AO138;0)</f>
        <v/>
      </c>
      <c r="AQ138" s="2">
        <f>L138-K138-AI138-AE138-IF(AM138&gt;0;AM138;'_Настройки'!$B$9)-AP138-AC138</f>
        <v/>
      </c>
      <c r="AR138" s="3">
        <f>IF(L138&gt;0;AQ138/L138;"")</f>
        <v/>
      </c>
      <c r="AS138" s="3">
        <f>IF(K138&gt;0;AQ138/K138;"")</f>
        <v/>
      </c>
      <c r="AT138" s="2">
        <f>L138-K138-AL138-AE138-IF(AM138&gt;0;AM138;'_Настройки'!$B$9)-AP138-AC138</f>
        <v/>
      </c>
      <c r="AU138" s="3">
        <f>IF(L138&gt;0;AT138/L138;"")</f>
        <v/>
      </c>
      <c r="AV138" s="3">
        <f>IF(K138&gt;0;AT138/K138;"")</f>
        <v/>
      </c>
    </row>
    <row r="139">
      <c r="A139">
        <f>ROW()-1</f>
        <v/>
      </c>
      <c r="K139" s="2">
        <f>IFERROR(INDEX('_Цены_закупки'!$B:$B;MATCH(C139;'_Цены_закупки'!$A:$A;0));"")</f>
        <v/>
      </c>
      <c r="L139" s="2" t="n"/>
      <c r="M139" s="2" t="n"/>
      <c r="N139" s="3">
        <f>IF(AND(M139&gt;0;L139&gt;0);1-L139/M139;"")</f>
        <v/>
      </c>
      <c r="O139" s="2">
        <f>IF(OR(Q139="";K139=0);"";(K139+IF(AM139&gt;0;AM139;'_Настройки'!$B$9)+AP139+AC139+Q139*K139)/(1-AH139-AD139))</f>
        <v/>
      </c>
      <c r="P139" s="2">
        <f>IF(O139="";"";O139-K139-O139*AH139-O139*AD139-IF(AM139&gt;0;AM139;'_Настройки'!$B$9)-AP139-AC139)</f>
        <v/>
      </c>
      <c r="Q139" s="3">
        <f>IF(AND(O139&gt;0;K139&gt;0);P139/K139;"")</f>
        <v/>
      </c>
      <c r="R139" s="2">
        <f>IF(O139="";"";O139-K139-O139*AK139-O139*AD139-IF(AM139&gt;0;AM139;'_Настройки'!$B$9)-AP139-AC139)</f>
        <v/>
      </c>
      <c r="S139" s="3">
        <f>IF(AND(O139&gt;0;K139&gt;0);R139/K139;"")</f>
        <v/>
      </c>
      <c r="T139" s="2" t="n"/>
      <c r="U139" s="3">
        <f>IF(AND(L139&gt;0;T139&gt;0);1-T139/L139;"")</f>
        <v/>
      </c>
      <c r="V139" s="3">
        <f>'_Настройки'!$B$4</f>
        <v/>
      </c>
      <c r="Z139" s="4">
        <f>IF(AND(W139&gt;0;X139&gt;0;Y139&gt;0);W139*X139*Y139/1000;"")</f>
        <v/>
      </c>
      <c r="AB139" s="2">
        <f>('_Настройки'!$B$6+MAX(0;Z139-1)*'_Настройки'!$B$7)*IF(AA139&gt;0;AA139;'_Настройки'!$B$10)</f>
        <v/>
      </c>
      <c r="AC139" s="2">
        <f>AB139*(1+'_Настройки'!$B$8)</f>
        <v/>
      </c>
      <c r="AD139" s="3">
        <f>'_Настройки'!$B$2</f>
        <v/>
      </c>
      <c r="AE139" s="2">
        <f>L139*AD139</f>
        <v/>
      </c>
      <c r="AF139" s="3">
        <f>'_Настройки'!$B$3</f>
        <v/>
      </c>
      <c r="AG139" s="3">
        <f>IFERROR(INDEX('_Комиссия_ВБ'!$B:$B;MATCH(C139;'_Комиссия_ВБ'!$A:$A;0));0,245)</f>
        <v/>
      </c>
      <c r="AH139" s="3">
        <f>AG139+AF139</f>
        <v/>
      </c>
      <c r="AI139" s="2">
        <f>L139*AH139</f>
        <v/>
      </c>
      <c r="AJ139" s="3">
        <f>IFERROR(INDEX('_Комиссия_ВБ'!$C:$C;MATCH(C139;'_Комиссия_ВБ'!$A:$A;0));0,28)</f>
        <v/>
      </c>
      <c r="AK139" s="3">
        <f>AJ139+AF139</f>
        <v/>
      </c>
      <c r="AL139" s="2">
        <f>L139*AK139</f>
        <v/>
      </c>
      <c r="AM139" s="2" t="n"/>
      <c r="AO139" s="3">
        <f>'_Настройки'!$B$5</f>
        <v/>
      </c>
      <c r="AP139" s="2">
        <f>IF(K139&gt;0;K139*AO139;0)</f>
        <v/>
      </c>
      <c r="AQ139" s="2">
        <f>L139-K139-AI139-AE139-IF(AM139&gt;0;AM139;'_Настройки'!$B$9)-AP139-AC139</f>
        <v/>
      </c>
      <c r="AR139" s="3">
        <f>IF(L139&gt;0;AQ139/L139;"")</f>
        <v/>
      </c>
      <c r="AS139" s="3">
        <f>IF(K139&gt;0;AQ139/K139;"")</f>
        <v/>
      </c>
      <c r="AT139" s="2">
        <f>L139-K139-AL139-AE139-IF(AM139&gt;0;AM139;'_Настройки'!$B$9)-AP139-AC139</f>
        <v/>
      </c>
      <c r="AU139" s="3">
        <f>IF(L139&gt;0;AT139/L139;"")</f>
        <v/>
      </c>
      <c r="AV139" s="3">
        <f>IF(K139&gt;0;AT139/K139;"")</f>
        <v/>
      </c>
    </row>
    <row r="140">
      <c r="A140">
        <f>ROW()-1</f>
        <v/>
      </c>
      <c r="K140" s="2">
        <f>IFERROR(INDEX('_Цены_закупки'!$B:$B;MATCH(C140;'_Цены_закупки'!$A:$A;0));"")</f>
        <v/>
      </c>
      <c r="L140" s="2" t="n"/>
      <c r="M140" s="2" t="n"/>
      <c r="N140" s="3">
        <f>IF(AND(M140&gt;0;L140&gt;0);1-L140/M140;"")</f>
        <v/>
      </c>
      <c r="O140" s="2">
        <f>IF(OR(Q140="";K140=0);"";(K140+IF(AM140&gt;0;AM140;'_Настройки'!$B$9)+AP140+AC140+Q140*K140)/(1-AH140-AD140))</f>
        <v/>
      </c>
      <c r="P140" s="2">
        <f>IF(O140="";"";O140-K140-O140*AH140-O140*AD140-IF(AM140&gt;0;AM140;'_Настройки'!$B$9)-AP140-AC140)</f>
        <v/>
      </c>
      <c r="Q140" s="3">
        <f>IF(AND(O140&gt;0;K140&gt;0);P140/K140;"")</f>
        <v/>
      </c>
      <c r="R140" s="2">
        <f>IF(O140="";"";O140-K140-O140*AK140-O140*AD140-IF(AM140&gt;0;AM140;'_Настройки'!$B$9)-AP140-AC140)</f>
        <v/>
      </c>
      <c r="S140" s="3">
        <f>IF(AND(O140&gt;0;K140&gt;0);R140/K140;"")</f>
        <v/>
      </c>
      <c r="T140" s="2" t="n"/>
      <c r="U140" s="3">
        <f>IF(AND(L140&gt;0;T140&gt;0);1-T140/L140;"")</f>
        <v/>
      </c>
      <c r="V140" s="3">
        <f>'_Настройки'!$B$4</f>
        <v/>
      </c>
      <c r="Z140" s="4">
        <f>IF(AND(W140&gt;0;X140&gt;0;Y140&gt;0);W140*X140*Y140/1000;"")</f>
        <v/>
      </c>
      <c r="AB140" s="2">
        <f>('_Настройки'!$B$6+MAX(0;Z140-1)*'_Настройки'!$B$7)*IF(AA140&gt;0;AA140;'_Настройки'!$B$10)</f>
        <v/>
      </c>
      <c r="AC140" s="2">
        <f>AB140*(1+'_Настройки'!$B$8)</f>
        <v/>
      </c>
      <c r="AD140" s="3">
        <f>'_Настройки'!$B$2</f>
        <v/>
      </c>
      <c r="AE140" s="2">
        <f>L140*AD140</f>
        <v/>
      </c>
      <c r="AF140" s="3">
        <f>'_Настройки'!$B$3</f>
        <v/>
      </c>
      <c r="AG140" s="3">
        <f>IFERROR(INDEX('_Комиссия_ВБ'!$B:$B;MATCH(C140;'_Комиссия_ВБ'!$A:$A;0));0,245)</f>
        <v/>
      </c>
      <c r="AH140" s="3">
        <f>AG140+AF140</f>
        <v/>
      </c>
      <c r="AI140" s="2">
        <f>L140*AH140</f>
        <v/>
      </c>
      <c r="AJ140" s="3">
        <f>IFERROR(INDEX('_Комиссия_ВБ'!$C:$C;MATCH(C140;'_Комиссия_ВБ'!$A:$A;0));0,28)</f>
        <v/>
      </c>
      <c r="AK140" s="3">
        <f>AJ140+AF140</f>
        <v/>
      </c>
      <c r="AL140" s="2">
        <f>L140*AK140</f>
        <v/>
      </c>
      <c r="AM140" s="2" t="n"/>
      <c r="AO140" s="3">
        <f>'_Настройки'!$B$5</f>
        <v/>
      </c>
      <c r="AP140" s="2">
        <f>IF(K140&gt;0;K140*AO140;0)</f>
        <v/>
      </c>
      <c r="AQ140" s="2">
        <f>L140-K140-AI140-AE140-IF(AM140&gt;0;AM140;'_Настройки'!$B$9)-AP140-AC140</f>
        <v/>
      </c>
      <c r="AR140" s="3">
        <f>IF(L140&gt;0;AQ140/L140;"")</f>
        <v/>
      </c>
      <c r="AS140" s="3">
        <f>IF(K140&gt;0;AQ140/K140;"")</f>
        <v/>
      </c>
      <c r="AT140" s="2">
        <f>L140-K140-AL140-AE140-IF(AM140&gt;0;AM140;'_Настройки'!$B$9)-AP140-AC140</f>
        <v/>
      </c>
      <c r="AU140" s="3">
        <f>IF(L140&gt;0;AT140/L140;"")</f>
        <v/>
      </c>
      <c r="AV140" s="3">
        <f>IF(K140&gt;0;AT140/K140;"")</f>
        <v/>
      </c>
    </row>
    <row r="141">
      <c r="A141">
        <f>ROW()-1</f>
        <v/>
      </c>
      <c r="K141" s="2">
        <f>IFERROR(INDEX('_Цены_закупки'!$B:$B;MATCH(C141;'_Цены_закупки'!$A:$A;0));"")</f>
        <v/>
      </c>
      <c r="L141" s="2" t="n"/>
      <c r="M141" s="2" t="n"/>
      <c r="N141" s="3">
        <f>IF(AND(M141&gt;0;L141&gt;0);1-L141/M141;"")</f>
        <v/>
      </c>
      <c r="O141" s="2">
        <f>IF(OR(Q141="";K141=0);"";(K141+IF(AM141&gt;0;AM141;'_Настройки'!$B$9)+AP141+AC141+Q141*K141)/(1-AH141-AD141))</f>
        <v/>
      </c>
      <c r="P141" s="2">
        <f>IF(O141="";"";O141-K141-O141*AH141-O141*AD141-IF(AM141&gt;0;AM141;'_Настройки'!$B$9)-AP141-AC141)</f>
        <v/>
      </c>
      <c r="Q141" s="3">
        <f>IF(AND(O141&gt;0;K141&gt;0);P141/K141;"")</f>
        <v/>
      </c>
      <c r="R141" s="2">
        <f>IF(O141="";"";O141-K141-O141*AK141-O141*AD141-IF(AM141&gt;0;AM141;'_Настройки'!$B$9)-AP141-AC141)</f>
        <v/>
      </c>
      <c r="S141" s="3">
        <f>IF(AND(O141&gt;0;K141&gt;0);R141/K141;"")</f>
        <v/>
      </c>
      <c r="T141" s="2" t="n"/>
      <c r="U141" s="3">
        <f>IF(AND(L141&gt;0;T141&gt;0);1-T141/L141;"")</f>
        <v/>
      </c>
      <c r="V141" s="3">
        <f>'_Настройки'!$B$4</f>
        <v/>
      </c>
      <c r="Z141" s="4">
        <f>IF(AND(W141&gt;0;X141&gt;0;Y141&gt;0);W141*X141*Y141/1000;"")</f>
        <v/>
      </c>
      <c r="AB141" s="2">
        <f>('_Настройки'!$B$6+MAX(0;Z141-1)*'_Настройки'!$B$7)*IF(AA141&gt;0;AA141;'_Настройки'!$B$10)</f>
        <v/>
      </c>
      <c r="AC141" s="2">
        <f>AB141*(1+'_Настройки'!$B$8)</f>
        <v/>
      </c>
      <c r="AD141" s="3">
        <f>'_Настройки'!$B$2</f>
        <v/>
      </c>
      <c r="AE141" s="2">
        <f>L141*AD141</f>
        <v/>
      </c>
      <c r="AF141" s="3">
        <f>'_Настройки'!$B$3</f>
        <v/>
      </c>
      <c r="AG141" s="3">
        <f>IFERROR(INDEX('_Комиссия_ВБ'!$B:$B;MATCH(C141;'_Комиссия_ВБ'!$A:$A;0));0,245)</f>
        <v/>
      </c>
      <c r="AH141" s="3">
        <f>AG141+AF141</f>
        <v/>
      </c>
      <c r="AI141" s="2">
        <f>L141*AH141</f>
        <v/>
      </c>
      <c r="AJ141" s="3">
        <f>IFERROR(INDEX('_Комиссия_ВБ'!$C:$C;MATCH(C141;'_Комиссия_ВБ'!$A:$A;0));0,28)</f>
        <v/>
      </c>
      <c r="AK141" s="3">
        <f>AJ141+AF141</f>
        <v/>
      </c>
      <c r="AL141" s="2">
        <f>L141*AK141</f>
        <v/>
      </c>
      <c r="AM141" s="2" t="n"/>
      <c r="AO141" s="3">
        <f>'_Настройки'!$B$5</f>
        <v/>
      </c>
      <c r="AP141" s="2">
        <f>IF(K141&gt;0;K141*AO141;0)</f>
        <v/>
      </c>
      <c r="AQ141" s="2">
        <f>L141-K141-AI141-AE141-IF(AM141&gt;0;AM141;'_Настройки'!$B$9)-AP141-AC141</f>
        <v/>
      </c>
      <c r="AR141" s="3">
        <f>IF(L141&gt;0;AQ141/L141;"")</f>
        <v/>
      </c>
      <c r="AS141" s="3">
        <f>IF(K141&gt;0;AQ141/K141;"")</f>
        <v/>
      </c>
      <c r="AT141" s="2">
        <f>L141-K141-AL141-AE141-IF(AM141&gt;0;AM141;'_Настройки'!$B$9)-AP141-AC141</f>
        <v/>
      </c>
      <c r="AU141" s="3">
        <f>IF(L141&gt;0;AT141/L141;"")</f>
        <v/>
      </c>
      <c r="AV141" s="3">
        <f>IF(K141&gt;0;AT141/K141;"")</f>
        <v/>
      </c>
    </row>
    <row r="142">
      <c r="A142">
        <f>ROW()-1</f>
        <v/>
      </c>
      <c r="K142" s="2">
        <f>IFERROR(INDEX('_Цены_закупки'!$B:$B;MATCH(C142;'_Цены_закупки'!$A:$A;0));"")</f>
        <v/>
      </c>
      <c r="L142" s="2" t="n"/>
      <c r="M142" s="2" t="n"/>
      <c r="N142" s="3">
        <f>IF(AND(M142&gt;0;L142&gt;0);1-L142/M142;"")</f>
        <v/>
      </c>
      <c r="O142" s="2">
        <f>IF(OR(Q142="";K142=0);"";(K142+IF(AM142&gt;0;AM142;'_Настройки'!$B$9)+AP142+AC142+Q142*K142)/(1-AH142-AD142))</f>
        <v/>
      </c>
      <c r="P142" s="2">
        <f>IF(O142="";"";O142-K142-O142*AH142-O142*AD142-IF(AM142&gt;0;AM142;'_Настройки'!$B$9)-AP142-AC142)</f>
        <v/>
      </c>
      <c r="Q142" s="3">
        <f>IF(AND(O142&gt;0;K142&gt;0);P142/K142;"")</f>
        <v/>
      </c>
      <c r="R142" s="2">
        <f>IF(O142="";"";O142-K142-O142*AK142-O142*AD142-IF(AM142&gt;0;AM142;'_Настройки'!$B$9)-AP142-AC142)</f>
        <v/>
      </c>
      <c r="S142" s="3">
        <f>IF(AND(O142&gt;0;K142&gt;0);R142/K142;"")</f>
        <v/>
      </c>
      <c r="T142" s="2" t="n"/>
      <c r="U142" s="3">
        <f>IF(AND(L142&gt;0;T142&gt;0);1-T142/L142;"")</f>
        <v/>
      </c>
      <c r="V142" s="3">
        <f>'_Настройки'!$B$4</f>
        <v/>
      </c>
      <c r="Z142" s="4">
        <f>IF(AND(W142&gt;0;X142&gt;0;Y142&gt;0);W142*X142*Y142/1000;"")</f>
        <v/>
      </c>
      <c r="AB142" s="2">
        <f>('_Настройки'!$B$6+MAX(0;Z142-1)*'_Настройки'!$B$7)*IF(AA142&gt;0;AA142;'_Настройки'!$B$10)</f>
        <v/>
      </c>
      <c r="AC142" s="2">
        <f>AB142*(1+'_Настройки'!$B$8)</f>
        <v/>
      </c>
      <c r="AD142" s="3">
        <f>'_Настройки'!$B$2</f>
        <v/>
      </c>
      <c r="AE142" s="2">
        <f>L142*AD142</f>
        <v/>
      </c>
      <c r="AF142" s="3">
        <f>'_Настройки'!$B$3</f>
        <v/>
      </c>
      <c r="AG142" s="3">
        <f>IFERROR(INDEX('_Комиссия_ВБ'!$B:$B;MATCH(C142;'_Комиссия_ВБ'!$A:$A;0));0,245)</f>
        <v/>
      </c>
      <c r="AH142" s="3">
        <f>AG142+AF142</f>
        <v/>
      </c>
      <c r="AI142" s="2">
        <f>L142*AH142</f>
        <v/>
      </c>
      <c r="AJ142" s="3">
        <f>IFERROR(INDEX('_Комиссия_ВБ'!$C:$C;MATCH(C142;'_Комиссия_ВБ'!$A:$A;0));0,28)</f>
        <v/>
      </c>
      <c r="AK142" s="3">
        <f>AJ142+AF142</f>
        <v/>
      </c>
      <c r="AL142" s="2">
        <f>L142*AK142</f>
        <v/>
      </c>
      <c r="AM142" s="2" t="n"/>
      <c r="AO142" s="3">
        <f>'_Настройки'!$B$5</f>
        <v/>
      </c>
      <c r="AP142" s="2">
        <f>IF(K142&gt;0;K142*AO142;0)</f>
        <v/>
      </c>
      <c r="AQ142" s="2">
        <f>L142-K142-AI142-AE142-IF(AM142&gt;0;AM142;'_Настройки'!$B$9)-AP142-AC142</f>
        <v/>
      </c>
      <c r="AR142" s="3">
        <f>IF(L142&gt;0;AQ142/L142;"")</f>
        <v/>
      </c>
      <c r="AS142" s="3">
        <f>IF(K142&gt;0;AQ142/K142;"")</f>
        <v/>
      </c>
      <c r="AT142" s="2">
        <f>L142-K142-AL142-AE142-IF(AM142&gt;0;AM142;'_Настройки'!$B$9)-AP142-AC142</f>
        <v/>
      </c>
      <c r="AU142" s="3">
        <f>IF(L142&gt;0;AT142/L142;"")</f>
        <v/>
      </c>
      <c r="AV142" s="3">
        <f>IF(K142&gt;0;AT142/K142;"")</f>
        <v/>
      </c>
    </row>
    <row r="143">
      <c r="A143">
        <f>ROW()-1</f>
        <v/>
      </c>
      <c r="K143" s="2">
        <f>IFERROR(INDEX('_Цены_закупки'!$B:$B;MATCH(C143;'_Цены_закупки'!$A:$A;0));"")</f>
        <v/>
      </c>
      <c r="L143" s="2" t="n"/>
      <c r="M143" s="2" t="n"/>
      <c r="N143" s="3">
        <f>IF(AND(M143&gt;0;L143&gt;0);1-L143/M143;"")</f>
        <v/>
      </c>
      <c r="O143" s="2">
        <f>IF(OR(Q143="";K143=0);"";(K143+IF(AM143&gt;0;AM143;'_Настройки'!$B$9)+AP143+AC143+Q143*K143)/(1-AH143-AD143))</f>
        <v/>
      </c>
      <c r="P143" s="2">
        <f>IF(O143="";"";O143-K143-O143*AH143-O143*AD143-IF(AM143&gt;0;AM143;'_Настройки'!$B$9)-AP143-AC143)</f>
        <v/>
      </c>
      <c r="Q143" s="3">
        <f>IF(AND(O143&gt;0;K143&gt;0);P143/K143;"")</f>
        <v/>
      </c>
      <c r="R143" s="2">
        <f>IF(O143="";"";O143-K143-O143*AK143-O143*AD143-IF(AM143&gt;0;AM143;'_Настройки'!$B$9)-AP143-AC143)</f>
        <v/>
      </c>
      <c r="S143" s="3">
        <f>IF(AND(O143&gt;0;K143&gt;0);R143/K143;"")</f>
        <v/>
      </c>
      <c r="T143" s="2" t="n"/>
      <c r="U143" s="3">
        <f>IF(AND(L143&gt;0;T143&gt;0);1-T143/L143;"")</f>
        <v/>
      </c>
      <c r="V143" s="3">
        <f>'_Настройки'!$B$4</f>
        <v/>
      </c>
      <c r="Z143" s="4">
        <f>IF(AND(W143&gt;0;X143&gt;0;Y143&gt;0);W143*X143*Y143/1000;"")</f>
        <v/>
      </c>
      <c r="AB143" s="2">
        <f>('_Настройки'!$B$6+MAX(0;Z143-1)*'_Настройки'!$B$7)*IF(AA143&gt;0;AA143;'_Настройки'!$B$10)</f>
        <v/>
      </c>
      <c r="AC143" s="2">
        <f>AB143*(1+'_Настройки'!$B$8)</f>
        <v/>
      </c>
      <c r="AD143" s="3">
        <f>'_Настройки'!$B$2</f>
        <v/>
      </c>
      <c r="AE143" s="2">
        <f>L143*AD143</f>
        <v/>
      </c>
      <c r="AF143" s="3">
        <f>'_Настройки'!$B$3</f>
        <v/>
      </c>
      <c r="AG143" s="3">
        <f>IFERROR(INDEX('_Комиссия_ВБ'!$B:$B;MATCH(C143;'_Комиссия_ВБ'!$A:$A;0));0,245)</f>
        <v/>
      </c>
      <c r="AH143" s="3">
        <f>AG143+AF143</f>
        <v/>
      </c>
      <c r="AI143" s="2">
        <f>L143*AH143</f>
        <v/>
      </c>
      <c r="AJ143" s="3">
        <f>IFERROR(INDEX('_Комиссия_ВБ'!$C:$C;MATCH(C143;'_Комиссия_ВБ'!$A:$A;0));0,28)</f>
        <v/>
      </c>
      <c r="AK143" s="3">
        <f>AJ143+AF143</f>
        <v/>
      </c>
      <c r="AL143" s="2">
        <f>L143*AK143</f>
        <v/>
      </c>
      <c r="AM143" s="2" t="n"/>
      <c r="AO143" s="3">
        <f>'_Настройки'!$B$5</f>
        <v/>
      </c>
      <c r="AP143" s="2">
        <f>IF(K143&gt;0;K143*AO143;0)</f>
        <v/>
      </c>
      <c r="AQ143" s="2">
        <f>L143-K143-AI143-AE143-IF(AM143&gt;0;AM143;'_Настройки'!$B$9)-AP143-AC143</f>
        <v/>
      </c>
      <c r="AR143" s="3">
        <f>IF(L143&gt;0;AQ143/L143;"")</f>
        <v/>
      </c>
      <c r="AS143" s="3">
        <f>IF(K143&gt;0;AQ143/K143;"")</f>
        <v/>
      </c>
      <c r="AT143" s="2">
        <f>L143-K143-AL143-AE143-IF(AM143&gt;0;AM143;'_Настройки'!$B$9)-AP143-AC143</f>
        <v/>
      </c>
      <c r="AU143" s="3">
        <f>IF(L143&gt;0;AT143/L143;"")</f>
        <v/>
      </c>
      <c r="AV143" s="3">
        <f>IF(K143&gt;0;AT143/K143;"")</f>
        <v/>
      </c>
    </row>
    <row r="144">
      <c r="A144">
        <f>ROW()-1</f>
        <v/>
      </c>
      <c r="K144" s="2">
        <f>IFERROR(INDEX('_Цены_закупки'!$B:$B;MATCH(C144;'_Цены_закупки'!$A:$A;0));"")</f>
        <v/>
      </c>
      <c r="L144" s="2" t="n"/>
      <c r="M144" s="2" t="n"/>
      <c r="N144" s="3">
        <f>IF(AND(M144&gt;0;L144&gt;0);1-L144/M144;"")</f>
        <v/>
      </c>
      <c r="O144" s="2">
        <f>IF(OR(Q144="";K144=0);"";(K144+IF(AM144&gt;0;AM144;'_Настройки'!$B$9)+AP144+AC144+Q144*K144)/(1-AH144-AD144))</f>
        <v/>
      </c>
      <c r="P144" s="2">
        <f>IF(O144="";"";O144-K144-O144*AH144-O144*AD144-IF(AM144&gt;0;AM144;'_Настройки'!$B$9)-AP144-AC144)</f>
        <v/>
      </c>
      <c r="Q144" s="3">
        <f>IF(AND(O144&gt;0;K144&gt;0);P144/K144;"")</f>
        <v/>
      </c>
      <c r="R144" s="2">
        <f>IF(O144="";"";O144-K144-O144*AK144-O144*AD144-IF(AM144&gt;0;AM144;'_Настройки'!$B$9)-AP144-AC144)</f>
        <v/>
      </c>
      <c r="S144" s="3">
        <f>IF(AND(O144&gt;0;K144&gt;0);R144/K144;"")</f>
        <v/>
      </c>
      <c r="T144" s="2" t="n"/>
      <c r="U144" s="3">
        <f>IF(AND(L144&gt;0;T144&gt;0);1-T144/L144;"")</f>
        <v/>
      </c>
      <c r="V144" s="3">
        <f>'_Настройки'!$B$4</f>
        <v/>
      </c>
      <c r="Z144" s="4">
        <f>IF(AND(W144&gt;0;X144&gt;0;Y144&gt;0);W144*X144*Y144/1000;"")</f>
        <v/>
      </c>
      <c r="AB144" s="2">
        <f>('_Настройки'!$B$6+MAX(0;Z144-1)*'_Настройки'!$B$7)*IF(AA144&gt;0;AA144;'_Настройки'!$B$10)</f>
        <v/>
      </c>
      <c r="AC144" s="2">
        <f>AB144*(1+'_Настройки'!$B$8)</f>
        <v/>
      </c>
      <c r="AD144" s="3">
        <f>'_Настройки'!$B$2</f>
        <v/>
      </c>
      <c r="AE144" s="2">
        <f>L144*AD144</f>
        <v/>
      </c>
      <c r="AF144" s="3">
        <f>'_Настройки'!$B$3</f>
        <v/>
      </c>
      <c r="AG144" s="3">
        <f>IFERROR(INDEX('_Комиссия_ВБ'!$B:$B;MATCH(C144;'_Комиссия_ВБ'!$A:$A;0));0,245)</f>
        <v/>
      </c>
      <c r="AH144" s="3">
        <f>AG144+AF144</f>
        <v/>
      </c>
      <c r="AI144" s="2">
        <f>L144*AH144</f>
        <v/>
      </c>
      <c r="AJ144" s="3">
        <f>IFERROR(INDEX('_Комиссия_ВБ'!$C:$C;MATCH(C144;'_Комиссия_ВБ'!$A:$A;0));0,28)</f>
        <v/>
      </c>
      <c r="AK144" s="3">
        <f>AJ144+AF144</f>
        <v/>
      </c>
      <c r="AL144" s="2">
        <f>L144*AK144</f>
        <v/>
      </c>
      <c r="AM144" s="2" t="n"/>
      <c r="AO144" s="3">
        <f>'_Настройки'!$B$5</f>
        <v/>
      </c>
      <c r="AP144" s="2">
        <f>IF(K144&gt;0;K144*AO144;0)</f>
        <v/>
      </c>
      <c r="AQ144" s="2">
        <f>L144-K144-AI144-AE144-IF(AM144&gt;0;AM144;'_Настройки'!$B$9)-AP144-AC144</f>
        <v/>
      </c>
      <c r="AR144" s="3">
        <f>IF(L144&gt;0;AQ144/L144;"")</f>
        <v/>
      </c>
      <c r="AS144" s="3">
        <f>IF(K144&gt;0;AQ144/K144;"")</f>
        <v/>
      </c>
      <c r="AT144" s="2">
        <f>L144-K144-AL144-AE144-IF(AM144&gt;0;AM144;'_Настройки'!$B$9)-AP144-AC144</f>
        <v/>
      </c>
      <c r="AU144" s="3">
        <f>IF(L144&gt;0;AT144/L144;"")</f>
        <v/>
      </c>
      <c r="AV144" s="3">
        <f>IF(K144&gt;0;AT144/K144;"")</f>
        <v/>
      </c>
    </row>
    <row r="145">
      <c r="A145">
        <f>ROW()-1</f>
        <v/>
      </c>
      <c r="K145" s="2">
        <f>IFERROR(INDEX('_Цены_закупки'!$B:$B;MATCH(C145;'_Цены_закупки'!$A:$A;0));"")</f>
        <v/>
      </c>
      <c r="L145" s="2" t="n"/>
      <c r="M145" s="2" t="n"/>
      <c r="N145" s="3">
        <f>IF(AND(M145&gt;0;L145&gt;0);1-L145/M145;"")</f>
        <v/>
      </c>
      <c r="O145" s="2">
        <f>IF(OR(Q145="";K145=0);"";(K145+IF(AM145&gt;0;AM145;'_Настройки'!$B$9)+AP145+AC145+Q145*K145)/(1-AH145-AD145))</f>
        <v/>
      </c>
      <c r="P145" s="2">
        <f>IF(O145="";"";O145-K145-O145*AH145-O145*AD145-IF(AM145&gt;0;AM145;'_Настройки'!$B$9)-AP145-AC145)</f>
        <v/>
      </c>
      <c r="Q145" s="3">
        <f>IF(AND(O145&gt;0;K145&gt;0);P145/K145;"")</f>
        <v/>
      </c>
      <c r="R145" s="2">
        <f>IF(O145="";"";O145-K145-O145*AK145-O145*AD145-IF(AM145&gt;0;AM145;'_Настройки'!$B$9)-AP145-AC145)</f>
        <v/>
      </c>
      <c r="S145" s="3">
        <f>IF(AND(O145&gt;0;K145&gt;0);R145/K145;"")</f>
        <v/>
      </c>
      <c r="T145" s="2" t="n"/>
      <c r="U145" s="3">
        <f>IF(AND(L145&gt;0;T145&gt;0);1-T145/L145;"")</f>
        <v/>
      </c>
      <c r="V145" s="3">
        <f>'_Настройки'!$B$4</f>
        <v/>
      </c>
      <c r="Z145" s="4">
        <f>IF(AND(W145&gt;0;X145&gt;0;Y145&gt;0);W145*X145*Y145/1000;"")</f>
        <v/>
      </c>
      <c r="AB145" s="2">
        <f>('_Настройки'!$B$6+MAX(0;Z145-1)*'_Настройки'!$B$7)*IF(AA145&gt;0;AA145;'_Настройки'!$B$10)</f>
        <v/>
      </c>
      <c r="AC145" s="2">
        <f>AB145*(1+'_Настройки'!$B$8)</f>
        <v/>
      </c>
      <c r="AD145" s="3">
        <f>'_Настройки'!$B$2</f>
        <v/>
      </c>
      <c r="AE145" s="2">
        <f>L145*AD145</f>
        <v/>
      </c>
      <c r="AF145" s="3">
        <f>'_Настройки'!$B$3</f>
        <v/>
      </c>
      <c r="AG145" s="3">
        <f>IFERROR(INDEX('_Комиссия_ВБ'!$B:$B;MATCH(C145;'_Комиссия_ВБ'!$A:$A;0));0,245)</f>
        <v/>
      </c>
      <c r="AH145" s="3">
        <f>AG145+AF145</f>
        <v/>
      </c>
      <c r="AI145" s="2">
        <f>L145*AH145</f>
        <v/>
      </c>
      <c r="AJ145" s="3">
        <f>IFERROR(INDEX('_Комиссия_ВБ'!$C:$C;MATCH(C145;'_Комиссия_ВБ'!$A:$A;0));0,28)</f>
        <v/>
      </c>
      <c r="AK145" s="3">
        <f>AJ145+AF145</f>
        <v/>
      </c>
      <c r="AL145" s="2">
        <f>L145*AK145</f>
        <v/>
      </c>
      <c r="AM145" s="2" t="n"/>
      <c r="AO145" s="3">
        <f>'_Настройки'!$B$5</f>
        <v/>
      </c>
      <c r="AP145" s="2">
        <f>IF(K145&gt;0;K145*AO145;0)</f>
        <v/>
      </c>
      <c r="AQ145" s="2">
        <f>L145-K145-AI145-AE145-IF(AM145&gt;0;AM145;'_Настройки'!$B$9)-AP145-AC145</f>
        <v/>
      </c>
      <c r="AR145" s="3">
        <f>IF(L145&gt;0;AQ145/L145;"")</f>
        <v/>
      </c>
      <c r="AS145" s="3">
        <f>IF(K145&gt;0;AQ145/K145;"")</f>
        <v/>
      </c>
      <c r="AT145" s="2">
        <f>L145-K145-AL145-AE145-IF(AM145&gt;0;AM145;'_Настройки'!$B$9)-AP145-AC145</f>
        <v/>
      </c>
      <c r="AU145" s="3">
        <f>IF(L145&gt;0;AT145/L145;"")</f>
        <v/>
      </c>
      <c r="AV145" s="3">
        <f>IF(K145&gt;0;AT145/K145;"")</f>
        <v/>
      </c>
    </row>
    <row r="146">
      <c r="A146">
        <f>ROW()-1</f>
        <v/>
      </c>
      <c r="K146" s="2">
        <f>IFERROR(INDEX('_Цены_закупки'!$B:$B;MATCH(C146;'_Цены_закупки'!$A:$A;0));"")</f>
        <v/>
      </c>
      <c r="L146" s="2" t="n"/>
      <c r="M146" s="2" t="n"/>
      <c r="N146" s="3">
        <f>IF(AND(M146&gt;0;L146&gt;0);1-L146/M146;"")</f>
        <v/>
      </c>
      <c r="O146" s="2">
        <f>IF(OR(Q146="";K146=0);"";(K146+IF(AM146&gt;0;AM146;'_Настройки'!$B$9)+AP146+AC146+Q146*K146)/(1-AH146-AD146))</f>
        <v/>
      </c>
      <c r="P146" s="2">
        <f>IF(O146="";"";O146-K146-O146*AH146-O146*AD146-IF(AM146&gt;0;AM146;'_Настройки'!$B$9)-AP146-AC146)</f>
        <v/>
      </c>
      <c r="Q146" s="3">
        <f>IF(AND(O146&gt;0;K146&gt;0);P146/K146;"")</f>
        <v/>
      </c>
      <c r="R146" s="2">
        <f>IF(O146="";"";O146-K146-O146*AK146-O146*AD146-IF(AM146&gt;0;AM146;'_Настройки'!$B$9)-AP146-AC146)</f>
        <v/>
      </c>
      <c r="S146" s="3">
        <f>IF(AND(O146&gt;0;K146&gt;0);R146/K146;"")</f>
        <v/>
      </c>
      <c r="T146" s="2" t="n"/>
      <c r="U146" s="3">
        <f>IF(AND(L146&gt;0;T146&gt;0);1-T146/L146;"")</f>
        <v/>
      </c>
      <c r="V146" s="3">
        <f>'_Настройки'!$B$4</f>
        <v/>
      </c>
      <c r="Z146" s="4">
        <f>IF(AND(W146&gt;0;X146&gt;0;Y146&gt;0);W146*X146*Y146/1000;"")</f>
        <v/>
      </c>
      <c r="AB146" s="2">
        <f>('_Настройки'!$B$6+MAX(0;Z146-1)*'_Настройки'!$B$7)*IF(AA146&gt;0;AA146;'_Настройки'!$B$10)</f>
        <v/>
      </c>
      <c r="AC146" s="2">
        <f>AB146*(1+'_Настройки'!$B$8)</f>
        <v/>
      </c>
      <c r="AD146" s="3">
        <f>'_Настройки'!$B$2</f>
        <v/>
      </c>
      <c r="AE146" s="2">
        <f>L146*AD146</f>
        <v/>
      </c>
      <c r="AF146" s="3">
        <f>'_Настройки'!$B$3</f>
        <v/>
      </c>
      <c r="AG146" s="3">
        <f>IFERROR(INDEX('_Комиссия_ВБ'!$B:$B;MATCH(C146;'_Комиссия_ВБ'!$A:$A;0));0,245)</f>
        <v/>
      </c>
      <c r="AH146" s="3">
        <f>AG146+AF146</f>
        <v/>
      </c>
      <c r="AI146" s="2">
        <f>L146*AH146</f>
        <v/>
      </c>
      <c r="AJ146" s="3">
        <f>IFERROR(INDEX('_Комиссия_ВБ'!$C:$C;MATCH(C146;'_Комиссия_ВБ'!$A:$A;0));0,28)</f>
        <v/>
      </c>
      <c r="AK146" s="3">
        <f>AJ146+AF146</f>
        <v/>
      </c>
      <c r="AL146" s="2">
        <f>L146*AK146</f>
        <v/>
      </c>
      <c r="AM146" s="2" t="n"/>
      <c r="AO146" s="3">
        <f>'_Настройки'!$B$5</f>
        <v/>
      </c>
      <c r="AP146" s="2">
        <f>IF(K146&gt;0;K146*AO146;0)</f>
        <v/>
      </c>
      <c r="AQ146" s="2">
        <f>L146-K146-AI146-AE146-IF(AM146&gt;0;AM146;'_Настройки'!$B$9)-AP146-AC146</f>
        <v/>
      </c>
      <c r="AR146" s="3">
        <f>IF(L146&gt;0;AQ146/L146;"")</f>
        <v/>
      </c>
      <c r="AS146" s="3">
        <f>IF(K146&gt;0;AQ146/K146;"")</f>
        <v/>
      </c>
      <c r="AT146" s="2">
        <f>L146-K146-AL146-AE146-IF(AM146&gt;0;AM146;'_Настройки'!$B$9)-AP146-AC146</f>
        <v/>
      </c>
      <c r="AU146" s="3">
        <f>IF(L146&gt;0;AT146/L146;"")</f>
        <v/>
      </c>
      <c r="AV146" s="3">
        <f>IF(K146&gt;0;AT146/K146;"")</f>
        <v/>
      </c>
    </row>
    <row r="147">
      <c r="A147">
        <f>ROW()-1</f>
        <v/>
      </c>
      <c r="K147" s="2">
        <f>IFERROR(INDEX('_Цены_закупки'!$B:$B;MATCH(C147;'_Цены_закупки'!$A:$A;0));"")</f>
        <v/>
      </c>
      <c r="L147" s="2" t="n"/>
      <c r="M147" s="2" t="n"/>
      <c r="N147" s="3">
        <f>IF(AND(M147&gt;0;L147&gt;0);1-L147/M147;"")</f>
        <v/>
      </c>
      <c r="O147" s="2">
        <f>IF(OR(Q147="";K147=0);"";(K147+IF(AM147&gt;0;AM147;'_Настройки'!$B$9)+AP147+AC147+Q147*K147)/(1-AH147-AD147))</f>
        <v/>
      </c>
      <c r="P147" s="2">
        <f>IF(O147="";"";O147-K147-O147*AH147-O147*AD147-IF(AM147&gt;0;AM147;'_Настройки'!$B$9)-AP147-AC147)</f>
        <v/>
      </c>
      <c r="Q147" s="3">
        <f>IF(AND(O147&gt;0;K147&gt;0);P147/K147;"")</f>
        <v/>
      </c>
      <c r="R147" s="2">
        <f>IF(O147="";"";O147-K147-O147*AK147-O147*AD147-IF(AM147&gt;0;AM147;'_Настройки'!$B$9)-AP147-AC147)</f>
        <v/>
      </c>
      <c r="S147" s="3">
        <f>IF(AND(O147&gt;0;K147&gt;0);R147/K147;"")</f>
        <v/>
      </c>
      <c r="T147" s="2" t="n"/>
      <c r="U147" s="3">
        <f>IF(AND(L147&gt;0;T147&gt;0);1-T147/L147;"")</f>
        <v/>
      </c>
      <c r="V147" s="3">
        <f>'_Настройки'!$B$4</f>
        <v/>
      </c>
      <c r="Z147" s="4">
        <f>IF(AND(W147&gt;0;X147&gt;0;Y147&gt;0);W147*X147*Y147/1000;"")</f>
        <v/>
      </c>
      <c r="AB147" s="2">
        <f>('_Настройки'!$B$6+MAX(0;Z147-1)*'_Настройки'!$B$7)*IF(AA147&gt;0;AA147;'_Настройки'!$B$10)</f>
        <v/>
      </c>
      <c r="AC147" s="2">
        <f>AB147*(1+'_Настройки'!$B$8)</f>
        <v/>
      </c>
      <c r="AD147" s="3">
        <f>'_Настройки'!$B$2</f>
        <v/>
      </c>
      <c r="AE147" s="2">
        <f>L147*AD147</f>
        <v/>
      </c>
      <c r="AF147" s="3">
        <f>'_Настройки'!$B$3</f>
        <v/>
      </c>
      <c r="AG147" s="3">
        <f>IFERROR(INDEX('_Комиссия_ВБ'!$B:$B;MATCH(C147;'_Комиссия_ВБ'!$A:$A;0));0,245)</f>
        <v/>
      </c>
      <c r="AH147" s="3">
        <f>AG147+AF147</f>
        <v/>
      </c>
      <c r="AI147" s="2">
        <f>L147*AH147</f>
        <v/>
      </c>
      <c r="AJ147" s="3">
        <f>IFERROR(INDEX('_Комиссия_ВБ'!$C:$C;MATCH(C147;'_Комиссия_ВБ'!$A:$A;0));0,28)</f>
        <v/>
      </c>
      <c r="AK147" s="3">
        <f>AJ147+AF147</f>
        <v/>
      </c>
      <c r="AL147" s="2">
        <f>L147*AK147</f>
        <v/>
      </c>
      <c r="AM147" s="2" t="n"/>
      <c r="AO147" s="3">
        <f>'_Настройки'!$B$5</f>
        <v/>
      </c>
      <c r="AP147" s="2">
        <f>IF(K147&gt;0;K147*AO147;0)</f>
        <v/>
      </c>
      <c r="AQ147" s="2">
        <f>L147-K147-AI147-AE147-IF(AM147&gt;0;AM147;'_Настройки'!$B$9)-AP147-AC147</f>
        <v/>
      </c>
      <c r="AR147" s="3">
        <f>IF(L147&gt;0;AQ147/L147;"")</f>
        <v/>
      </c>
      <c r="AS147" s="3">
        <f>IF(K147&gt;0;AQ147/K147;"")</f>
        <v/>
      </c>
      <c r="AT147" s="2">
        <f>L147-K147-AL147-AE147-IF(AM147&gt;0;AM147;'_Настройки'!$B$9)-AP147-AC147</f>
        <v/>
      </c>
      <c r="AU147" s="3">
        <f>IF(L147&gt;0;AT147/L147;"")</f>
        <v/>
      </c>
      <c r="AV147" s="3">
        <f>IF(K147&gt;0;AT147/K147;"")</f>
        <v/>
      </c>
    </row>
    <row r="148">
      <c r="A148">
        <f>ROW()-1</f>
        <v/>
      </c>
      <c r="K148" s="2">
        <f>IFERROR(INDEX('_Цены_закупки'!$B:$B;MATCH(C148;'_Цены_закупки'!$A:$A;0));"")</f>
        <v/>
      </c>
      <c r="L148" s="2" t="n"/>
      <c r="M148" s="2" t="n"/>
      <c r="N148" s="3">
        <f>IF(AND(M148&gt;0;L148&gt;0);1-L148/M148;"")</f>
        <v/>
      </c>
      <c r="O148" s="2">
        <f>IF(OR(Q148="";K148=0);"";(K148+IF(AM148&gt;0;AM148;'_Настройки'!$B$9)+AP148+AC148+Q148*K148)/(1-AH148-AD148))</f>
        <v/>
      </c>
      <c r="P148" s="2">
        <f>IF(O148="";"";O148-K148-O148*AH148-O148*AD148-IF(AM148&gt;0;AM148;'_Настройки'!$B$9)-AP148-AC148)</f>
        <v/>
      </c>
      <c r="Q148" s="3">
        <f>IF(AND(O148&gt;0;K148&gt;0);P148/K148;"")</f>
        <v/>
      </c>
      <c r="R148" s="2">
        <f>IF(O148="";"";O148-K148-O148*AK148-O148*AD148-IF(AM148&gt;0;AM148;'_Настройки'!$B$9)-AP148-AC148)</f>
        <v/>
      </c>
      <c r="S148" s="3">
        <f>IF(AND(O148&gt;0;K148&gt;0);R148/K148;"")</f>
        <v/>
      </c>
      <c r="T148" s="2" t="n"/>
      <c r="U148" s="3">
        <f>IF(AND(L148&gt;0;T148&gt;0);1-T148/L148;"")</f>
        <v/>
      </c>
      <c r="V148" s="3">
        <f>'_Настройки'!$B$4</f>
        <v/>
      </c>
      <c r="Z148" s="4">
        <f>IF(AND(W148&gt;0;X148&gt;0;Y148&gt;0);W148*X148*Y148/1000;"")</f>
        <v/>
      </c>
      <c r="AB148" s="2">
        <f>('_Настройки'!$B$6+MAX(0;Z148-1)*'_Настройки'!$B$7)*IF(AA148&gt;0;AA148;'_Настройки'!$B$10)</f>
        <v/>
      </c>
      <c r="AC148" s="2">
        <f>AB148*(1+'_Настройки'!$B$8)</f>
        <v/>
      </c>
      <c r="AD148" s="3">
        <f>'_Настройки'!$B$2</f>
        <v/>
      </c>
      <c r="AE148" s="2">
        <f>L148*AD148</f>
        <v/>
      </c>
      <c r="AF148" s="3">
        <f>'_Настройки'!$B$3</f>
        <v/>
      </c>
      <c r="AG148" s="3">
        <f>IFERROR(INDEX('_Комиссия_ВБ'!$B:$B;MATCH(C148;'_Комиссия_ВБ'!$A:$A;0));0,245)</f>
        <v/>
      </c>
      <c r="AH148" s="3">
        <f>AG148+AF148</f>
        <v/>
      </c>
      <c r="AI148" s="2">
        <f>L148*AH148</f>
        <v/>
      </c>
      <c r="AJ148" s="3">
        <f>IFERROR(INDEX('_Комиссия_ВБ'!$C:$C;MATCH(C148;'_Комиссия_ВБ'!$A:$A;0));0,28)</f>
        <v/>
      </c>
      <c r="AK148" s="3">
        <f>AJ148+AF148</f>
        <v/>
      </c>
      <c r="AL148" s="2">
        <f>L148*AK148</f>
        <v/>
      </c>
      <c r="AM148" s="2" t="n"/>
      <c r="AO148" s="3">
        <f>'_Настройки'!$B$5</f>
        <v/>
      </c>
      <c r="AP148" s="2">
        <f>IF(K148&gt;0;K148*AO148;0)</f>
        <v/>
      </c>
      <c r="AQ148" s="2">
        <f>L148-K148-AI148-AE148-IF(AM148&gt;0;AM148;'_Настройки'!$B$9)-AP148-AC148</f>
        <v/>
      </c>
      <c r="AR148" s="3">
        <f>IF(L148&gt;0;AQ148/L148;"")</f>
        <v/>
      </c>
      <c r="AS148" s="3">
        <f>IF(K148&gt;0;AQ148/K148;"")</f>
        <v/>
      </c>
      <c r="AT148" s="2">
        <f>L148-K148-AL148-AE148-IF(AM148&gt;0;AM148;'_Настройки'!$B$9)-AP148-AC148</f>
        <v/>
      </c>
      <c r="AU148" s="3">
        <f>IF(L148&gt;0;AT148/L148;"")</f>
        <v/>
      </c>
      <c r="AV148" s="3">
        <f>IF(K148&gt;0;AT148/K148;"")</f>
        <v/>
      </c>
    </row>
    <row r="149">
      <c r="A149">
        <f>ROW()-1</f>
        <v/>
      </c>
      <c r="K149" s="2">
        <f>IFERROR(INDEX('_Цены_закупки'!$B:$B;MATCH(C149;'_Цены_закупки'!$A:$A;0));"")</f>
        <v/>
      </c>
      <c r="L149" s="2" t="n"/>
      <c r="M149" s="2" t="n"/>
      <c r="N149" s="3">
        <f>IF(AND(M149&gt;0;L149&gt;0);1-L149/M149;"")</f>
        <v/>
      </c>
      <c r="O149" s="2">
        <f>IF(OR(Q149="";K149=0);"";(K149+IF(AM149&gt;0;AM149;'_Настройки'!$B$9)+AP149+AC149+Q149*K149)/(1-AH149-AD149))</f>
        <v/>
      </c>
      <c r="P149" s="2">
        <f>IF(O149="";"";O149-K149-O149*AH149-O149*AD149-IF(AM149&gt;0;AM149;'_Настройки'!$B$9)-AP149-AC149)</f>
        <v/>
      </c>
      <c r="Q149" s="3">
        <f>IF(AND(O149&gt;0;K149&gt;0);P149/K149;"")</f>
        <v/>
      </c>
      <c r="R149" s="2">
        <f>IF(O149="";"";O149-K149-O149*AK149-O149*AD149-IF(AM149&gt;0;AM149;'_Настройки'!$B$9)-AP149-AC149)</f>
        <v/>
      </c>
      <c r="S149" s="3">
        <f>IF(AND(O149&gt;0;K149&gt;0);R149/K149;"")</f>
        <v/>
      </c>
      <c r="T149" s="2" t="n"/>
      <c r="U149" s="3">
        <f>IF(AND(L149&gt;0;T149&gt;0);1-T149/L149;"")</f>
        <v/>
      </c>
      <c r="V149" s="3">
        <f>'_Настройки'!$B$4</f>
        <v/>
      </c>
      <c r="Z149" s="4">
        <f>IF(AND(W149&gt;0;X149&gt;0;Y149&gt;0);W149*X149*Y149/1000;"")</f>
        <v/>
      </c>
      <c r="AB149" s="2">
        <f>('_Настройки'!$B$6+MAX(0;Z149-1)*'_Настройки'!$B$7)*IF(AA149&gt;0;AA149;'_Настройки'!$B$10)</f>
        <v/>
      </c>
      <c r="AC149" s="2">
        <f>AB149*(1+'_Настройки'!$B$8)</f>
        <v/>
      </c>
      <c r="AD149" s="3">
        <f>'_Настройки'!$B$2</f>
        <v/>
      </c>
      <c r="AE149" s="2">
        <f>L149*AD149</f>
        <v/>
      </c>
      <c r="AF149" s="3">
        <f>'_Настройки'!$B$3</f>
        <v/>
      </c>
      <c r="AG149" s="3">
        <f>IFERROR(INDEX('_Комиссия_ВБ'!$B:$B;MATCH(C149;'_Комиссия_ВБ'!$A:$A;0));0,245)</f>
        <v/>
      </c>
      <c r="AH149" s="3">
        <f>AG149+AF149</f>
        <v/>
      </c>
      <c r="AI149" s="2">
        <f>L149*AH149</f>
        <v/>
      </c>
      <c r="AJ149" s="3">
        <f>IFERROR(INDEX('_Комиссия_ВБ'!$C:$C;MATCH(C149;'_Комиссия_ВБ'!$A:$A;0));0,28)</f>
        <v/>
      </c>
      <c r="AK149" s="3">
        <f>AJ149+AF149</f>
        <v/>
      </c>
      <c r="AL149" s="2">
        <f>L149*AK149</f>
        <v/>
      </c>
      <c r="AM149" s="2" t="n"/>
      <c r="AO149" s="3">
        <f>'_Настройки'!$B$5</f>
        <v/>
      </c>
      <c r="AP149" s="2">
        <f>IF(K149&gt;0;K149*AO149;0)</f>
        <v/>
      </c>
      <c r="AQ149" s="2">
        <f>L149-K149-AI149-AE149-IF(AM149&gt;0;AM149;'_Настройки'!$B$9)-AP149-AC149</f>
        <v/>
      </c>
      <c r="AR149" s="3">
        <f>IF(L149&gt;0;AQ149/L149;"")</f>
        <v/>
      </c>
      <c r="AS149" s="3">
        <f>IF(K149&gt;0;AQ149/K149;"")</f>
        <v/>
      </c>
      <c r="AT149" s="2">
        <f>L149-K149-AL149-AE149-IF(AM149&gt;0;AM149;'_Настройки'!$B$9)-AP149-AC149</f>
        <v/>
      </c>
      <c r="AU149" s="3">
        <f>IF(L149&gt;0;AT149/L149;"")</f>
        <v/>
      </c>
      <c r="AV149" s="3">
        <f>IF(K149&gt;0;AT149/K149;"")</f>
        <v/>
      </c>
    </row>
    <row r="150">
      <c r="A150">
        <f>ROW()-1</f>
        <v/>
      </c>
      <c r="K150" s="2">
        <f>IFERROR(INDEX('_Цены_закупки'!$B:$B;MATCH(C150;'_Цены_закупки'!$A:$A;0));"")</f>
        <v/>
      </c>
      <c r="L150" s="2" t="n"/>
      <c r="M150" s="2" t="n"/>
      <c r="N150" s="3">
        <f>IF(AND(M150&gt;0;L150&gt;0);1-L150/M150;"")</f>
        <v/>
      </c>
      <c r="O150" s="2">
        <f>IF(OR(Q150="";K150=0);"";(K150+IF(AM150&gt;0;AM150;'_Настройки'!$B$9)+AP150+AC150+Q150*K150)/(1-AH150-AD150))</f>
        <v/>
      </c>
      <c r="P150" s="2">
        <f>IF(O150="";"";O150-K150-O150*AH150-O150*AD150-IF(AM150&gt;0;AM150;'_Настройки'!$B$9)-AP150-AC150)</f>
        <v/>
      </c>
      <c r="Q150" s="3">
        <f>IF(AND(O150&gt;0;K150&gt;0);P150/K150;"")</f>
        <v/>
      </c>
      <c r="R150" s="2">
        <f>IF(O150="";"";O150-K150-O150*AK150-O150*AD150-IF(AM150&gt;0;AM150;'_Настройки'!$B$9)-AP150-AC150)</f>
        <v/>
      </c>
      <c r="S150" s="3">
        <f>IF(AND(O150&gt;0;K150&gt;0);R150/K150;"")</f>
        <v/>
      </c>
      <c r="T150" s="2" t="n"/>
      <c r="U150" s="3">
        <f>IF(AND(L150&gt;0;T150&gt;0);1-T150/L150;"")</f>
        <v/>
      </c>
      <c r="V150" s="3">
        <f>'_Настройки'!$B$4</f>
        <v/>
      </c>
      <c r="Z150" s="4">
        <f>IF(AND(W150&gt;0;X150&gt;0;Y150&gt;0);W150*X150*Y150/1000;"")</f>
        <v/>
      </c>
      <c r="AB150" s="2">
        <f>('_Настройки'!$B$6+MAX(0;Z150-1)*'_Настройки'!$B$7)*IF(AA150&gt;0;AA150;'_Настройки'!$B$10)</f>
        <v/>
      </c>
      <c r="AC150" s="2">
        <f>AB150*(1+'_Настройки'!$B$8)</f>
        <v/>
      </c>
      <c r="AD150" s="3">
        <f>'_Настройки'!$B$2</f>
        <v/>
      </c>
      <c r="AE150" s="2">
        <f>L150*AD150</f>
        <v/>
      </c>
      <c r="AF150" s="3">
        <f>'_Настройки'!$B$3</f>
        <v/>
      </c>
      <c r="AG150" s="3">
        <f>IFERROR(INDEX('_Комиссия_ВБ'!$B:$B;MATCH(C150;'_Комиссия_ВБ'!$A:$A;0));0,245)</f>
        <v/>
      </c>
      <c r="AH150" s="3">
        <f>AG150+AF150</f>
        <v/>
      </c>
      <c r="AI150" s="2">
        <f>L150*AH150</f>
        <v/>
      </c>
      <c r="AJ150" s="3">
        <f>IFERROR(INDEX('_Комиссия_ВБ'!$C:$C;MATCH(C150;'_Комиссия_ВБ'!$A:$A;0));0,28)</f>
        <v/>
      </c>
      <c r="AK150" s="3">
        <f>AJ150+AF150</f>
        <v/>
      </c>
      <c r="AL150" s="2">
        <f>L150*AK150</f>
        <v/>
      </c>
      <c r="AM150" s="2" t="n"/>
      <c r="AO150" s="3">
        <f>'_Настройки'!$B$5</f>
        <v/>
      </c>
      <c r="AP150" s="2">
        <f>IF(K150&gt;0;K150*AO150;0)</f>
        <v/>
      </c>
      <c r="AQ150" s="2">
        <f>L150-K150-AI150-AE150-IF(AM150&gt;0;AM150;'_Настройки'!$B$9)-AP150-AC150</f>
        <v/>
      </c>
      <c r="AR150" s="3">
        <f>IF(L150&gt;0;AQ150/L150;"")</f>
        <v/>
      </c>
      <c r="AS150" s="3">
        <f>IF(K150&gt;0;AQ150/K150;"")</f>
        <v/>
      </c>
      <c r="AT150" s="2">
        <f>L150-K150-AL150-AE150-IF(AM150&gt;0;AM150;'_Настройки'!$B$9)-AP150-AC150</f>
        <v/>
      </c>
      <c r="AU150" s="3">
        <f>IF(L150&gt;0;AT150/L150;"")</f>
        <v/>
      </c>
      <c r="AV150" s="3">
        <f>IF(K150&gt;0;AT150/K150;"")</f>
        <v/>
      </c>
    </row>
    <row r="151">
      <c r="A151">
        <f>ROW()-1</f>
        <v/>
      </c>
      <c r="K151" s="2">
        <f>IFERROR(INDEX('_Цены_закупки'!$B:$B;MATCH(C151;'_Цены_закупки'!$A:$A;0));"")</f>
        <v/>
      </c>
      <c r="L151" s="2" t="n"/>
      <c r="M151" s="2" t="n"/>
      <c r="N151" s="3">
        <f>IF(AND(M151&gt;0;L151&gt;0);1-L151/M151;"")</f>
        <v/>
      </c>
      <c r="O151" s="2">
        <f>IF(OR(Q151="";K151=0);"";(K151+IF(AM151&gt;0;AM151;'_Настройки'!$B$9)+AP151+AC151+Q151*K151)/(1-AH151-AD151))</f>
        <v/>
      </c>
      <c r="P151" s="2">
        <f>IF(O151="";"";O151-K151-O151*AH151-O151*AD151-IF(AM151&gt;0;AM151;'_Настройки'!$B$9)-AP151-AC151)</f>
        <v/>
      </c>
      <c r="Q151" s="3">
        <f>IF(AND(O151&gt;0;K151&gt;0);P151/K151;"")</f>
        <v/>
      </c>
      <c r="R151" s="2">
        <f>IF(O151="";"";O151-K151-O151*AK151-O151*AD151-IF(AM151&gt;0;AM151;'_Настройки'!$B$9)-AP151-AC151)</f>
        <v/>
      </c>
      <c r="S151" s="3">
        <f>IF(AND(O151&gt;0;K151&gt;0);R151/K151;"")</f>
        <v/>
      </c>
      <c r="T151" s="2" t="n"/>
      <c r="U151" s="3">
        <f>IF(AND(L151&gt;0;T151&gt;0);1-T151/L151;"")</f>
        <v/>
      </c>
      <c r="V151" s="3">
        <f>'_Настройки'!$B$4</f>
        <v/>
      </c>
      <c r="Z151" s="4">
        <f>IF(AND(W151&gt;0;X151&gt;0;Y151&gt;0);W151*X151*Y151/1000;"")</f>
        <v/>
      </c>
      <c r="AB151" s="2">
        <f>('_Настройки'!$B$6+MAX(0;Z151-1)*'_Настройки'!$B$7)*IF(AA151&gt;0;AA151;'_Настройки'!$B$10)</f>
        <v/>
      </c>
      <c r="AC151" s="2">
        <f>AB151*(1+'_Настройки'!$B$8)</f>
        <v/>
      </c>
      <c r="AD151" s="3">
        <f>'_Настройки'!$B$2</f>
        <v/>
      </c>
      <c r="AE151" s="2">
        <f>L151*AD151</f>
        <v/>
      </c>
      <c r="AF151" s="3">
        <f>'_Настройки'!$B$3</f>
        <v/>
      </c>
      <c r="AG151" s="3">
        <f>IFERROR(INDEX('_Комиссия_ВБ'!$B:$B;MATCH(C151;'_Комиссия_ВБ'!$A:$A;0));0,245)</f>
        <v/>
      </c>
      <c r="AH151" s="3">
        <f>AG151+AF151</f>
        <v/>
      </c>
      <c r="AI151" s="2">
        <f>L151*AH151</f>
        <v/>
      </c>
      <c r="AJ151" s="3">
        <f>IFERROR(INDEX('_Комиссия_ВБ'!$C:$C;MATCH(C151;'_Комиссия_ВБ'!$A:$A;0));0,28)</f>
        <v/>
      </c>
      <c r="AK151" s="3">
        <f>AJ151+AF151</f>
        <v/>
      </c>
      <c r="AL151" s="2">
        <f>L151*AK151</f>
        <v/>
      </c>
      <c r="AM151" s="2" t="n"/>
      <c r="AO151" s="3">
        <f>'_Настройки'!$B$5</f>
        <v/>
      </c>
      <c r="AP151" s="2">
        <f>IF(K151&gt;0;K151*AO151;0)</f>
        <v/>
      </c>
      <c r="AQ151" s="2">
        <f>L151-K151-AI151-AE151-IF(AM151&gt;0;AM151;'_Настройки'!$B$9)-AP151-AC151</f>
        <v/>
      </c>
      <c r="AR151" s="3">
        <f>IF(L151&gt;0;AQ151/L151;"")</f>
        <v/>
      </c>
      <c r="AS151" s="3">
        <f>IF(K151&gt;0;AQ151/K151;"")</f>
        <v/>
      </c>
      <c r="AT151" s="2">
        <f>L151-K151-AL151-AE151-IF(AM151&gt;0;AM151;'_Настройки'!$B$9)-AP151-AC151</f>
        <v/>
      </c>
      <c r="AU151" s="3">
        <f>IF(L151&gt;0;AT151/L151;"")</f>
        <v/>
      </c>
      <c r="AV151" s="3">
        <f>IF(K151&gt;0;AT151/K151;"")</f>
        <v/>
      </c>
    </row>
    <row r="152">
      <c r="A152">
        <f>ROW()-1</f>
        <v/>
      </c>
      <c r="K152" s="2">
        <f>IFERROR(INDEX('_Цены_закупки'!$B:$B;MATCH(C152;'_Цены_закупки'!$A:$A;0));"")</f>
        <v/>
      </c>
      <c r="L152" s="2" t="n"/>
      <c r="M152" s="2" t="n"/>
      <c r="N152" s="3">
        <f>IF(AND(M152&gt;0;L152&gt;0);1-L152/M152;"")</f>
        <v/>
      </c>
      <c r="O152" s="2">
        <f>IF(OR(Q152="";K152=0);"";(K152+IF(AM152&gt;0;AM152;'_Настройки'!$B$9)+AP152+AC152+Q152*K152)/(1-AH152-AD152))</f>
        <v/>
      </c>
      <c r="P152" s="2">
        <f>IF(O152="";"";O152-K152-O152*AH152-O152*AD152-IF(AM152&gt;0;AM152;'_Настройки'!$B$9)-AP152-AC152)</f>
        <v/>
      </c>
      <c r="Q152" s="3">
        <f>IF(AND(O152&gt;0;K152&gt;0);P152/K152;"")</f>
        <v/>
      </c>
      <c r="R152" s="2">
        <f>IF(O152="";"";O152-K152-O152*AK152-O152*AD152-IF(AM152&gt;0;AM152;'_Настройки'!$B$9)-AP152-AC152)</f>
        <v/>
      </c>
      <c r="S152" s="3">
        <f>IF(AND(O152&gt;0;K152&gt;0);R152/K152;"")</f>
        <v/>
      </c>
      <c r="T152" s="2" t="n"/>
      <c r="U152" s="3">
        <f>IF(AND(L152&gt;0;T152&gt;0);1-T152/L152;"")</f>
        <v/>
      </c>
      <c r="V152" s="3">
        <f>'_Настройки'!$B$4</f>
        <v/>
      </c>
      <c r="Z152" s="4">
        <f>IF(AND(W152&gt;0;X152&gt;0;Y152&gt;0);W152*X152*Y152/1000;"")</f>
        <v/>
      </c>
      <c r="AB152" s="2">
        <f>('_Настройки'!$B$6+MAX(0;Z152-1)*'_Настройки'!$B$7)*IF(AA152&gt;0;AA152;'_Настройки'!$B$10)</f>
        <v/>
      </c>
      <c r="AC152" s="2">
        <f>AB152*(1+'_Настройки'!$B$8)</f>
        <v/>
      </c>
      <c r="AD152" s="3">
        <f>'_Настройки'!$B$2</f>
        <v/>
      </c>
      <c r="AE152" s="2">
        <f>L152*AD152</f>
        <v/>
      </c>
      <c r="AF152" s="3">
        <f>'_Настройки'!$B$3</f>
        <v/>
      </c>
      <c r="AG152" s="3">
        <f>IFERROR(INDEX('_Комиссия_ВБ'!$B:$B;MATCH(C152;'_Комиссия_ВБ'!$A:$A;0));0,245)</f>
        <v/>
      </c>
      <c r="AH152" s="3">
        <f>AG152+AF152</f>
        <v/>
      </c>
      <c r="AI152" s="2">
        <f>L152*AH152</f>
        <v/>
      </c>
      <c r="AJ152" s="3">
        <f>IFERROR(INDEX('_Комиссия_ВБ'!$C:$C;MATCH(C152;'_Комиссия_ВБ'!$A:$A;0));0,28)</f>
        <v/>
      </c>
      <c r="AK152" s="3">
        <f>AJ152+AF152</f>
        <v/>
      </c>
      <c r="AL152" s="2">
        <f>L152*AK152</f>
        <v/>
      </c>
      <c r="AM152" s="2" t="n"/>
      <c r="AO152" s="3">
        <f>'_Настройки'!$B$5</f>
        <v/>
      </c>
      <c r="AP152" s="2">
        <f>IF(K152&gt;0;K152*AO152;0)</f>
        <v/>
      </c>
      <c r="AQ152" s="2">
        <f>L152-K152-AI152-AE152-IF(AM152&gt;0;AM152;'_Настройки'!$B$9)-AP152-AC152</f>
        <v/>
      </c>
      <c r="AR152" s="3">
        <f>IF(L152&gt;0;AQ152/L152;"")</f>
        <v/>
      </c>
      <c r="AS152" s="3">
        <f>IF(K152&gt;0;AQ152/K152;"")</f>
        <v/>
      </c>
      <c r="AT152" s="2">
        <f>L152-K152-AL152-AE152-IF(AM152&gt;0;AM152;'_Настройки'!$B$9)-AP152-AC152</f>
        <v/>
      </c>
      <c r="AU152" s="3">
        <f>IF(L152&gt;0;AT152/L152;"")</f>
        <v/>
      </c>
      <c r="AV152" s="3">
        <f>IF(K152&gt;0;AT152/K152;"")</f>
        <v/>
      </c>
    </row>
    <row r="153">
      <c r="A153">
        <f>ROW()-1</f>
        <v/>
      </c>
      <c r="K153" s="2">
        <f>IFERROR(INDEX('_Цены_закупки'!$B:$B;MATCH(C153;'_Цены_закупки'!$A:$A;0));"")</f>
        <v/>
      </c>
      <c r="L153" s="2" t="n"/>
      <c r="M153" s="2" t="n"/>
      <c r="N153" s="3">
        <f>IF(AND(M153&gt;0;L153&gt;0);1-L153/M153;"")</f>
        <v/>
      </c>
      <c r="O153" s="2">
        <f>IF(OR(Q153="";K153=0);"";(K153+IF(AM153&gt;0;AM153;'_Настройки'!$B$9)+AP153+AC153+Q153*K153)/(1-AH153-AD153))</f>
        <v/>
      </c>
      <c r="P153" s="2">
        <f>IF(O153="";"";O153-K153-O153*AH153-O153*AD153-IF(AM153&gt;0;AM153;'_Настройки'!$B$9)-AP153-AC153)</f>
        <v/>
      </c>
      <c r="Q153" s="3">
        <f>IF(AND(O153&gt;0;K153&gt;0);P153/K153;"")</f>
        <v/>
      </c>
      <c r="R153" s="2">
        <f>IF(O153="";"";O153-K153-O153*AK153-O153*AD153-IF(AM153&gt;0;AM153;'_Настройки'!$B$9)-AP153-AC153)</f>
        <v/>
      </c>
      <c r="S153" s="3">
        <f>IF(AND(O153&gt;0;K153&gt;0);R153/K153;"")</f>
        <v/>
      </c>
      <c r="T153" s="2" t="n"/>
      <c r="U153" s="3">
        <f>IF(AND(L153&gt;0;T153&gt;0);1-T153/L153;"")</f>
        <v/>
      </c>
      <c r="V153" s="3">
        <f>'_Настройки'!$B$4</f>
        <v/>
      </c>
      <c r="Z153" s="4">
        <f>IF(AND(W153&gt;0;X153&gt;0;Y153&gt;0);W153*X153*Y153/1000;"")</f>
        <v/>
      </c>
      <c r="AB153" s="2">
        <f>('_Настройки'!$B$6+MAX(0;Z153-1)*'_Настройки'!$B$7)*IF(AA153&gt;0;AA153;'_Настройки'!$B$10)</f>
        <v/>
      </c>
      <c r="AC153" s="2">
        <f>AB153*(1+'_Настройки'!$B$8)</f>
        <v/>
      </c>
      <c r="AD153" s="3">
        <f>'_Настройки'!$B$2</f>
        <v/>
      </c>
      <c r="AE153" s="2">
        <f>L153*AD153</f>
        <v/>
      </c>
      <c r="AF153" s="3">
        <f>'_Настройки'!$B$3</f>
        <v/>
      </c>
      <c r="AG153" s="3">
        <f>IFERROR(INDEX('_Комиссия_ВБ'!$B:$B;MATCH(C153;'_Комиссия_ВБ'!$A:$A;0));0,245)</f>
        <v/>
      </c>
      <c r="AH153" s="3">
        <f>AG153+AF153</f>
        <v/>
      </c>
      <c r="AI153" s="2">
        <f>L153*AH153</f>
        <v/>
      </c>
      <c r="AJ153" s="3">
        <f>IFERROR(INDEX('_Комиссия_ВБ'!$C:$C;MATCH(C153;'_Комиссия_ВБ'!$A:$A;0));0,28)</f>
        <v/>
      </c>
      <c r="AK153" s="3">
        <f>AJ153+AF153</f>
        <v/>
      </c>
      <c r="AL153" s="2">
        <f>L153*AK153</f>
        <v/>
      </c>
      <c r="AM153" s="2" t="n"/>
      <c r="AO153" s="3">
        <f>'_Настройки'!$B$5</f>
        <v/>
      </c>
      <c r="AP153" s="2">
        <f>IF(K153&gt;0;K153*AO153;0)</f>
        <v/>
      </c>
      <c r="AQ153" s="2">
        <f>L153-K153-AI153-AE153-IF(AM153&gt;0;AM153;'_Настройки'!$B$9)-AP153-AC153</f>
        <v/>
      </c>
      <c r="AR153" s="3">
        <f>IF(L153&gt;0;AQ153/L153;"")</f>
        <v/>
      </c>
      <c r="AS153" s="3">
        <f>IF(K153&gt;0;AQ153/K153;"")</f>
        <v/>
      </c>
      <c r="AT153" s="2">
        <f>L153-K153-AL153-AE153-IF(AM153&gt;0;AM153;'_Настройки'!$B$9)-AP153-AC153</f>
        <v/>
      </c>
      <c r="AU153" s="3">
        <f>IF(L153&gt;0;AT153/L153;"")</f>
        <v/>
      </c>
      <c r="AV153" s="3">
        <f>IF(K153&gt;0;AT153/K153;"")</f>
        <v/>
      </c>
    </row>
    <row r="154">
      <c r="A154">
        <f>ROW()-1</f>
        <v/>
      </c>
      <c r="K154" s="2">
        <f>IFERROR(INDEX('_Цены_закупки'!$B:$B;MATCH(C154;'_Цены_закупки'!$A:$A;0));"")</f>
        <v/>
      </c>
      <c r="L154" s="2" t="n"/>
      <c r="M154" s="2" t="n"/>
      <c r="N154" s="3">
        <f>IF(AND(M154&gt;0;L154&gt;0);1-L154/M154;"")</f>
        <v/>
      </c>
      <c r="O154" s="2">
        <f>IF(OR(Q154="";K154=0);"";(K154+IF(AM154&gt;0;AM154;'_Настройки'!$B$9)+AP154+AC154+Q154*K154)/(1-AH154-AD154))</f>
        <v/>
      </c>
      <c r="P154" s="2">
        <f>IF(O154="";"";O154-K154-O154*AH154-O154*AD154-IF(AM154&gt;0;AM154;'_Настройки'!$B$9)-AP154-AC154)</f>
        <v/>
      </c>
      <c r="Q154" s="3">
        <f>IF(AND(O154&gt;0;K154&gt;0);P154/K154;"")</f>
        <v/>
      </c>
      <c r="R154" s="2">
        <f>IF(O154="";"";O154-K154-O154*AK154-O154*AD154-IF(AM154&gt;0;AM154;'_Настройки'!$B$9)-AP154-AC154)</f>
        <v/>
      </c>
      <c r="S154" s="3">
        <f>IF(AND(O154&gt;0;K154&gt;0);R154/K154;"")</f>
        <v/>
      </c>
      <c r="T154" s="2" t="n"/>
      <c r="U154" s="3">
        <f>IF(AND(L154&gt;0;T154&gt;0);1-T154/L154;"")</f>
        <v/>
      </c>
      <c r="V154" s="3">
        <f>'_Настройки'!$B$4</f>
        <v/>
      </c>
      <c r="Z154" s="4">
        <f>IF(AND(W154&gt;0;X154&gt;0;Y154&gt;0);W154*X154*Y154/1000;"")</f>
        <v/>
      </c>
      <c r="AB154" s="2">
        <f>('_Настройки'!$B$6+MAX(0;Z154-1)*'_Настройки'!$B$7)*IF(AA154&gt;0;AA154;'_Настройки'!$B$10)</f>
        <v/>
      </c>
      <c r="AC154" s="2">
        <f>AB154*(1+'_Настройки'!$B$8)</f>
        <v/>
      </c>
      <c r="AD154" s="3">
        <f>'_Настройки'!$B$2</f>
        <v/>
      </c>
      <c r="AE154" s="2">
        <f>L154*AD154</f>
        <v/>
      </c>
      <c r="AF154" s="3">
        <f>'_Настройки'!$B$3</f>
        <v/>
      </c>
      <c r="AG154" s="3">
        <f>IFERROR(INDEX('_Комиссия_ВБ'!$B:$B;MATCH(C154;'_Комиссия_ВБ'!$A:$A;0));0,245)</f>
        <v/>
      </c>
      <c r="AH154" s="3">
        <f>AG154+AF154</f>
        <v/>
      </c>
      <c r="AI154" s="2">
        <f>L154*AH154</f>
        <v/>
      </c>
      <c r="AJ154" s="3">
        <f>IFERROR(INDEX('_Комиссия_ВБ'!$C:$C;MATCH(C154;'_Комиссия_ВБ'!$A:$A;0));0,28)</f>
        <v/>
      </c>
      <c r="AK154" s="3">
        <f>AJ154+AF154</f>
        <v/>
      </c>
      <c r="AL154" s="2">
        <f>L154*AK154</f>
        <v/>
      </c>
      <c r="AM154" s="2" t="n"/>
      <c r="AO154" s="3">
        <f>'_Настройки'!$B$5</f>
        <v/>
      </c>
      <c r="AP154" s="2">
        <f>IF(K154&gt;0;K154*AO154;0)</f>
        <v/>
      </c>
      <c r="AQ154" s="2">
        <f>L154-K154-AI154-AE154-IF(AM154&gt;0;AM154;'_Настройки'!$B$9)-AP154-AC154</f>
        <v/>
      </c>
      <c r="AR154" s="3">
        <f>IF(L154&gt;0;AQ154/L154;"")</f>
        <v/>
      </c>
      <c r="AS154" s="3">
        <f>IF(K154&gt;0;AQ154/K154;"")</f>
        <v/>
      </c>
      <c r="AT154" s="2">
        <f>L154-K154-AL154-AE154-IF(AM154&gt;0;AM154;'_Настройки'!$B$9)-AP154-AC154</f>
        <v/>
      </c>
      <c r="AU154" s="3">
        <f>IF(L154&gt;0;AT154/L154;"")</f>
        <v/>
      </c>
      <c r="AV154" s="3">
        <f>IF(K154&gt;0;AT154/K154;"")</f>
        <v/>
      </c>
    </row>
    <row r="155">
      <c r="A155">
        <f>ROW()-1</f>
        <v/>
      </c>
      <c r="K155" s="2">
        <f>IFERROR(INDEX('_Цены_закупки'!$B:$B;MATCH(C155;'_Цены_закупки'!$A:$A;0));"")</f>
        <v/>
      </c>
      <c r="L155" s="2" t="n"/>
      <c r="M155" s="2" t="n"/>
      <c r="N155" s="3">
        <f>IF(AND(M155&gt;0;L155&gt;0);1-L155/M155;"")</f>
        <v/>
      </c>
      <c r="O155" s="2">
        <f>IF(OR(Q155="";K155=0);"";(K155+IF(AM155&gt;0;AM155;'_Настройки'!$B$9)+AP155+AC155+Q155*K155)/(1-AH155-AD155))</f>
        <v/>
      </c>
      <c r="P155" s="2">
        <f>IF(O155="";"";O155-K155-O155*AH155-O155*AD155-IF(AM155&gt;0;AM155;'_Настройки'!$B$9)-AP155-AC155)</f>
        <v/>
      </c>
      <c r="Q155" s="3">
        <f>IF(AND(O155&gt;0;K155&gt;0);P155/K155;"")</f>
        <v/>
      </c>
      <c r="R155" s="2">
        <f>IF(O155="";"";O155-K155-O155*AK155-O155*AD155-IF(AM155&gt;0;AM155;'_Настройки'!$B$9)-AP155-AC155)</f>
        <v/>
      </c>
      <c r="S155" s="3">
        <f>IF(AND(O155&gt;0;K155&gt;0);R155/K155;"")</f>
        <v/>
      </c>
      <c r="T155" s="2" t="n"/>
      <c r="U155" s="3">
        <f>IF(AND(L155&gt;0;T155&gt;0);1-T155/L155;"")</f>
        <v/>
      </c>
      <c r="V155" s="3">
        <f>'_Настройки'!$B$4</f>
        <v/>
      </c>
      <c r="Z155" s="4">
        <f>IF(AND(W155&gt;0;X155&gt;0;Y155&gt;0);W155*X155*Y155/1000;"")</f>
        <v/>
      </c>
      <c r="AB155" s="2">
        <f>('_Настройки'!$B$6+MAX(0;Z155-1)*'_Настройки'!$B$7)*IF(AA155&gt;0;AA155;'_Настройки'!$B$10)</f>
        <v/>
      </c>
      <c r="AC155" s="2">
        <f>AB155*(1+'_Настройки'!$B$8)</f>
        <v/>
      </c>
      <c r="AD155" s="3">
        <f>'_Настройки'!$B$2</f>
        <v/>
      </c>
      <c r="AE155" s="2">
        <f>L155*AD155</f>
        <v/>
      </c>
      <c r="AF155" s="3">
        <f>'_Настройки'!$B$3</f>
        <v/>
      </c>
      <c r="AG155" s="3">
        <f>IFERROR(INDEX('_Комиссия_ВБ'!$B:$B;MATCH(C155;'_Комиссия_ВБ'!$A:$A;0));0,245)</f>
        <v/>
      </c>
      <c r="AH155" s="3">
        <f>AG155+AF155</f>
        <v/>
      </c>
      <c r="AI155" s="2">
        <f>L155*AH155</f>
        <v/>
      </c>
      <c r="AJ155" s="3">
        <f>IFERROR(INDEX('_Комиссия_ВБ'!$C:$C;MATCH(C155;'_Комиссия_ВБ'!$A:$A;0));0,28)</f>
        <v/>
      </c>
      <c r="AK155" s="3">
        <f>AJ155+AF155</f>
        <v/>
      </c>
      <c r="AL155" s="2">
        <f>L155*AK155</f>
        <v/>
      </c>
      <c r="AM155" s="2" t="n"/>
      <c r="AO155" s="3">
        <f>'_Настройки'!$B$5</f>
        <v/>
      </c>
      <c r="AP155" s="2">
        <f>IF(K155&gt;0;K155*AO155;0)</f>
        <v/>
      </c>
      <c r="AQ155" s="2">
        <f>L155-K155-AI155-AE155-IF(AM155&gt;0;AM155;'_Настройки'!$B$9)-AP155-AC155</f>
        <v/>
      </c>
      <c r="AR155" s="3">
        <f>IF(L155&gt;0;AQ155/L155;"")</f>
        <v/>
      </c>
      <c r="AS155" s="3">
        <f>IF(K155&gt;0;AQ155/K155;"")</f>
        <v/>
      </c>
      <c r="AT155" s="2">
        <f>L155-K155-AL155-AE155-IF(AM155&gt;0;AM155;'_Настройки'!$B$9)-AP155-AC155</f>
        <v/>
      </c>
      <c r="AU155" s="3">
        <f>IF(L155&gt;0;AT155/L155;"")</f>
        <v/>
      </c>
      <c r="AV155" s="3">
        <f>IF(K155&gt;0;AT155/K155;"")</f>
        <v/>
      </c>
    </row>
    <row r="156">
      <c r="A156">
        <f>ROW()-1</f>
        <v/>
      </c>
      <c r="K156" s="2">
        <f>IFERROR(INDEX('_Цены_закупки'!$B:$B;MATCH(C156;'_Цены_закупки'!$A:$A;0));"")</f>
        <v/>
      </c>
      <c r="L156" s="2" t="n"/>
      <c r="M156" s="2" t="n"/>
      <c r="N156" s="3">
        <f>IF(AND(M156&gt;0;L156&gt;0);1-L156/M156;"")</f>
        <v/>
      </c>
      <c r="O156" s="2">
        <f>IF(OR(Q156="";K156=0);"";(K156+IF(AM156&gt;0;AM156;'_Настройки'!$B$9)+AP156+AC156+Q156*K156)/(1-AH156-AD156))</f>
        <v/>
      </c>
      <c r="P156" s="2">
        <f>IF(O156="";"";O156-K156-O156*AH156-O156*AD156-IF(AM156&gt;0;AM156;'_Настройки'!$B$9)-AP156-AC156)</f>
        <v/>
      </c>
      <c r="Q156" s="3">
        <f>IF(AND(O156&gt;0;K156&gt;0);P156/K156;"")</f>
        <v/>
      </c>
      <c r="R156" s="2">
        <f>IF(O156="";"";O156-K156-O156*AK156-O156*AD156-IF(AM156&gt;0;AM156;'_Настройки'!$B$9)-AP156-AC156)</f>
        <v/>
      </c>
      <c r="S156" s="3">
        <f>IF(AND(O156&gt;0;K156&gt;0);R156/K156;"")</f>
        <v/>
      </c>
      <c r="T156" s="2" t="n"/>
      <c r="U156" s="3">
        <f>IF(AND(L156&gt;0;T156&gt;0);1-T156/L156;"")</f>
        <v/>
      </c>
      <c r="V156" s="3">
        <f>'_Настройки'!$B$4</f>
        <v/>
      </c>
      <c r="Z156" s="4">
        <f>IF(AND(W156&gt;0;X156&gt;0;Y156&gt;0);W156*X156*Y156/1000;"")</f>
        <v/>
      </c>
      <c r="AB156" s="2">
        <f>('_Настройки'!$B$6+MAX(0;Z156-1)*'_Настройки'!$B$7)*IF(AA156&gt;0;AA156;'_Настройки'!$B$10)</f>
        <v/>
      </c>
      <c r="AC156" s="2">
        <f>AB156*(1+'_Настройки'!$B$8)</f>
        <v/>
      </c>
      <c r="AD156" s="3">
        <f>'_Настройки'!$B$2</f>
        <v/>
      </c>
      <c r="AE156" s="2">
        <f>L156*AD156</f>
        <v/>
      </c>
      <c r="AF156" s="3">
        <f>'_Настройки'!$B$3</f>
        <v/>
      </c>
      <c r="AG156" s="3">
        <f>IFERROR(INDEX('_Комиссия_ВБ'!$B:$B;MATCH(C156;'_Комиссия_ВБ'!$A:$A;0));0,245)</f>
        <v/>
      </c>
      <c r="AH156" s="3">
        <f>AG156+AF156</f>
        <v/>
      </c>
      <c r="AI156" s="2">
        <f>L156*AH156</f>
        <v/>
      </c>
      <c r="AJ156" s="3">
        <f>IFERROR(INDEX('_Комиссия_ВБ'!$C:$C;MATCH(C156;'_Комиссия_ВБ'!$A:$A;0));0,28)</f>
        <v/>
      </c>
      <c r="AK156" s="3">
        <f>AJ156+AF156</f>
        <v/>
      </c>
      <c r="AL156" s="2">
        <f>L156*AK156</f>
        <v/>
      </c>
      <c r="AM156" s="2" t="n"/>
      <c r="AO156" s="3">
        <f>'_Настройки'!$B$5</f>
        <v/>
      </c>
      <c r="AP156" s="2">
        <f>IF(K156&gt;0;K156*AO156;0)</f>
        <v/>
      </c>
      <c r="AQ156" s="2">
        <f>L156-K156-AI156-AE156-IF(AM156&gt;0;AM156;'_Настройки'!$B$9)-AP156-AC156</f>
        <v/>
      </c>
      <c r="AR156" s="3">
        <f>IF(L156&gt;0;AQ156/L156;"")</f>
        <v/>
      </c>
      <c r="AS156" s="3">
        <f>IF(K156&gt;0;AQ156/K156;"")</f>
        <v/>
      </c>
      <c r="AT156" s="2">
        <f>L156-K156-AL156-AE156-IF(AM156&gt;0;AM156;'_Настройки'!$B$9)-AP156-AC156</f>
        <v/>
      </c>
      <c r="AU156" s="3">
        <f>IF(L156&gt;0;AT156/L156;"")</f>
        <v/>
      </c>
      <c r="AV156" s="3">
        <f>IF(K156&gt;0;AT156/K156;"")</f>
        <v/>
      </c>
    </row>
    <row r="157">
      <c r="A157">
        <f>ROW()-1</f>
        <v/>
      </c>
      <c r="K157" s="2">
        <f>IFERROR(INDEX('_Цены_закупки'!$B:$B;MATCH(C157;'_Цены_закупки'!$A:$A;0));"")</f>
        <v/>
      </c>
      <c r="L157" s="2" t="n"/>
      <c r="M157" s="2" t="n"/>
      <c r="N157" s="3">
        <f>IF(AND(M157&gt;0;L157&gt;0);1-L157/M157;"")</f>
        <v/>
      </c>
      <c r="O157" s="2">
        <f>IF(OR(Q157="";K157=0);"";(K157+IF(AM157&gt;0;AM157;'_Настройки'!$B$9)+AP157+AC157+Q157*K157)/(1-AH157-AD157))</f>
        <v/>
      </c>
      <c r="P157" s="2">
        <f>IF(O157="";"";O157-K157-O157*AH157-O157*AD157-IF(AM157&gt;0;AM157;'_Настройки'!$B$9)-AP157-AC157)</f>
        <v/>
      </c>
      <c r="Q157" s="3">
        <f>IF(AND(O157&gt;0;K157&gt;0);P157/K157;"")</f>
        <v/>
      </c>
      <c r="R157" s="2">
        <f>IF(O157="";"";O157-K157-O157*AK157-O157*AD157-IF(AM157&gt;0;AM157;'_Настройки'!$B$9)-AP157-AC157)</f>
        <v/>
      </c>
      <c r="S157" s="3">
        <f>IF(AND(O157&gt;0;K157&gt;0);R157/K157;"")</f>
        <v/>
      </c>
      <c r="T157" s="2" t="n"/>
      <c r="U157" s="3">
        <f>IF(AND(L157&gt;0;T157&gt;0);1-T157/L157;"")</f>
        <v/>
      </c>
      <c r="V157" s="3">
        <f>'_Настройки'!$B$4</f>
        <v/>
      </c>
      <c r="Z157" s="4">
        <f>IF(AND(W157&gt;0;X157&gt;0;Y157&gt;0);W157*X157*Y157/1000;"")</f>
        <v/>
      </c>
      <c r="AB157" s="2">
        <f>('_Настройки'!$B$6+MAX(0;Z157-1)*'_Настройки'!$B$7)*IF(AA157&gt;0;AA157;'_Настройки'!$B$10)</f>
        <v/>
      </c>
      <c r="AC157" s="2">
        <f>AB157*(1+'_Настройки'!$B$8)</f>
        <v/>
      </c>
      <c r="AD157" s="3">
        <f>'_Настройки'!$B$2</f>
        <v/>
      </c>
      <c r="AE157" s="2">
        <f>L157*AD157</f>
        <v/>
      </c>
      <c r="AF157" s="3">
        <f>'_Настройки'!$B$3</f>
        <v/>
      </c>
      <c r="AG157" s="3">
        <f>IFERROR(INDEX('_Комиссия_ВБ'!$B:$B;MATCH(C157;'_Комиссия_ВБ'!$A:$A;0));0,245)</f>
        <v/>
      </c>
      <c r="AH157" s="3">
        <f>AG157+AF157</f>
        <v/>
      </c>
      <c r="AI157" s="2">
        <f>L157*AH157</f>
        <v/>
      </c>
      <c r="AJ157" s="3">
        <f>IFERROR(INDEX('_Комиссия_ВБ'!$C:$C;MATCH(C157;'_Комиссия_ВБ'!$A:$A;0));0,28)</f>
        <v/>
      </c>
      <c r="AK157" s="3">
        <f>AJ157+AF157</f>
        <v/>
      </c>
      <c r="AL157" s="2">
        <f>L157*AK157</f>
        <v/>
      </c>
      <c r="AM157" s="2" t="n"/>
      <c r="AO157" s="3">
        <f>'_Настройки'!$B$5</f>
        <v/>
      </c>
      <c r="AP157" s="2">
        <f>IF(K157&gt;0;K157*AO157;0)</f>
        <v/>
      </c>
      <c r="AQ157" s="2">
        <f>L157-K157-AI157-AE157-IF(AM157&gt;0;AM157;'_Настройки'!$B$9)-AP157-AC157</f>
        <v/>
      </c>
      <c r="AR157" s="3">
        <f>IF(L157&gt;0;AQ157/L157;"")</f>
        <v/>
      </c>
      <c r="AS157" s="3">
        <f>IF(K157&gt;0;AQ157/K157;"")</f>
        <v/>
      </c>
      <c r="AT157" s="2">
        <f>L157-K157-AL157-AE157-IF(AM157&gt;0;AM157;'_Настройки'!$B$9)-AP157-AC157</f>
        <v/>
      </c>
      <c r="AU157" s="3">
        <f>IF(L157&gt;0;AT157/L157;"")</f>
        <v/>
      </c>
      <c r="AV157" s="3">
        <f>IF(K157&gt;0;AT157/K157;"")</f>
        <v/>
      </c>
    </row>
    <row r="158">
      <c r="A158">
        <f>ROW()-1</f>
        <v/>
      </c>
      <c r="K158" s="2">
        <f>IFERROR(INDEX('_Цены_закупки'!$B:$B;MATCH(C158;'_Цены_закупки'!$A:$A;0));"")</f>
        <v/>
      </c>
      <c r="L158" s="2" t="n"/>
      <c r="M158" s="2" t="n"/>
      <c r="N158" s="3">
        <f>IF(AND(M158&gt;0;L158&gt;0);1-L158/M158;"")</f>
        <v/>
      </c>
      <c r="O158" s="2">
        <f>IF(OR(Q158="";K158=0);"";(K158+IF(AM158&gt;0;AM158;'_Настройки'!$B$9)+AP158+AC158+Q158*K158)/(1-AH158-AD158))</f>
        <v/>
      </c>
      <c r="P158" s="2">
        <f>IF(O158="";"";O158-K158-O158*AH158-O158*AD158-IF(AM158&gt;0;AM158;'_Настройки'!$B$9)-AP158-AC158)</f>
        <v/>
      </c>
      <c r="Q158" s="3">
        <f>IF(AND(O158&gt;0;K158&gt;0);P158/K158;"")</f>
        <v/>
      </c>
      <c r="R158" s="2">
        <f>IF(O158="";"";O158-K158-O158*AK158-O158*AD158-IF(AM158&gt;0;AM158;'_Настройки'!$B$9)-AP158-AC158)</f>
        <v/>
      </c>
      <c r="S158" s="3">
        <f>IF(AND(O158&gt;0;K158&gt;0);R158/K158;"")</f>
        <v/>
      </c>
      <c r="T158" s="2" t="n"/>
      <c r="U158" s="3">
        <f>IF(AND(L158&gt;0;T158&gt;0);1-T158/L158;"")</f>
        <v/>
      </c>
      <c r="V158" s="3">
        <f>'_Настройки'!$B$4</f>
        <v/>
      </c>
      <c r="Z158" s="4">
        <f>IF(AND(W158&gt;0;X158&gt;0;Y158&gt;0);W158*X158*Y158/1000;"")</f>
        <v/>
      </c>
      <c r="AB158" s="2">
        <f>('_Настройки'!$B$6+MAX(0;Z158-1)*'_Настройки'!$B$7)*IF(AA158&gt;0;AA158;'_Настройки'!$B$10)</f>
        <v/>
      </c>
      <c r="AC158" s="2">
        <f>AB158*(1+'_Настройки'!$B$8)</f>
        <v/>
      </c>
      <c r="AD158" s="3">
        <f>'_Настройки'!$B$2</f>
        <v/>
      </c>
      <c r="AE158" s="2">
        <f>L158*AD158</f>
        <v/>
      </c>
      <c r="AF158" s="3">
        <f>'_Настройки'!$B$3</f>
        <v/>
      </c>
      <c r="AG158" s="3">
        <f>IFERROR(INDEX('_Комиссия_ВБ'!$B:$B;MATCH(C158;'_Комиссия_ВБ'!$A:$A;0));0,245)</f>
        <v/>
      </c>
      <c r="AH158" s="3">
        <f>AG158+AF158</f>
        <v/>
      </c>
      <c r="AI158" s="2">
        <f>L158*AH158</f>
        <v/>
      </c>
      <c r="AJ158" s="3">
        <f>IFERROR(INDEX('_Комиссия_ВБ'!$C:$C;MATCH(C158;'_Комиссия_ВБ'!$A:$A;0));0,28)</f>
        <v/>
      </c>
      <c r="AK158" s="3">
        <f>AJ158+AF158</f>
        <v/>
      </c>
      <c r="AL158" s="2">
        <f>L158*AK158</f>
        <v/>
      </c>
      <c r="AM158" s="2" t="n"/>
      <c r="AO158" s="3">
        <f>'_Настройки'!$B$5</f>
        <v/>
      </c>
      <c r="AP158" s="2">
        <f>IF(K158&gt;0;K158*AO158;0)</f>
        <v/>
      </c>
      <c r="AQ158" s="2">
        <f>L158-K158-AI158-AE158-IF(AM158&gt;0;AM158;'_Настройки'!$B$9)-AP158-AC158</f>
        <v/>
      </c>
      <c r="AR158" s="3">
        <f>IF(L158&gt;0;AQ158/L158;"")</f>
        <v/>
      </c>
      <c r="AS158" s="3">
        <f>IF(K158&gt;0;AQ158/K158;"")</f>
        <v/>
      </c>
      <c r="AT158" s="2">
        <f>L158-K158-AL158-AE158-IF(AM158&gt;0;AM158;'_Настройки'!$B$9)-AP158-AC158</f>
        <v/>
      </c>
      <c r="AU158" s="3">
        <f>IF(L158&gt;0;AT158/L158;"")</f>
        <v/>
      </c>
      <c r="AV158" s="3">
        <f>IF(K158&gt;0;AT158/K158;"")</f>
        <v/>
      </c>
    </row>
    <row r="159">
      <c r="A159">
        <f>ROW()-1</f>
        <v/>
      </c>
      <c r="K159" s="2">
        <f>IFERROR(INDEX('_Цены_закупки'!$B:$B;MATCH(C159;'_Цены_закупки'!$A:$A;0));"")</f>
        <v/>
      </c>
      <c r="L159" s="2" t="n"/>
      <c r="M159" s="2" t="n"/>
      <c r="N159" s="3">
        <f>IF(AND(M159&gt;0;L159&gt;0);1-L159/M159;"")</f>
        <v/>
      </c>
      <c r="O159" s="2">
        <f>IF(OR(Q159="";K159=0);"";(K159+IF(AM159&gt;0;AM159;'_Настройки'!$B$9)+AP159+AC159+Q159*K159)/(1-AH159-AD159))</f>
        <v/>
      </c>
      <c r="P159" s="2">
        <f>IF(O159="";"";O159-K159-O159*AH159-O159*AD159-IF(AM159&gt;0;AM159;'_Настройки'!$B$9)-AP159-AC159)</f>
        <v/>
      </c>
      <c r="Q159" s="3">
        <f>IF(AND(O159&gt;0;K159&gt;0);P159/K159;"")</f>
        <v/>
      </c>
      <c r="R159" s="2">
        <f>IF(O159="";"";O159-K159-O159*AK159-O159*AD159-IF(AM159&gt;0;AM159;'_Настройки'!$B$9)-AP159-AC159)</f>
        <v/>
      </c>
      <c r="S159" s="3">
        <f>IF(AND(O159&gt;0;K159&gt;0);R159/K159;"")</f>
        <v/>
      </c>
      <c r="T159" s="2" t="n"/>
      <c r="U159" s="3">
        <f>IF(AND(L159&gt;0;T159&gt;0);1-T159/L159;"")</f>
        <v/>
      </c>
      <c r="V159" s="3">
        <f>'_Настройки'!$B$4</f>
        <v/>
      </c>
      <c r="Z159" s="4">
        <f>IF(AND(W159&gt;0;X159&gt;0;Y159&gt;0);W159*X159*Y159/1000;"")</f>
        <v/>
      </c>
      <c r="AB159" s="2">
        <f>('_Настройки'!$B$6+MAX(0;Z159-1)*'_Настройки'!$B$7)*IF(AA159&gt;0;AA159;'_Настройки'!$B$10)</f>
        <v/>
      </c>
      <c r="AC159" s="2">
        <f>AB159*(1+'_Настройки'!$B$8)</f>
        <v/>
      </c>
      <c r="AD159" s="3">
        <f>'_Настройки'!$B$2</f>
        <v/>
      </c>
      <c r="AE159" s="2">
        <f>L159*AD159</f>
        <v/>
      </c>
      <c r="AF159" s="3">
        <f>'_Настройки'!$B$3</f>
        <v/>
      </c>
      <c r="AG159" s="3">
        <f>IFERROR(INDEX('_Комиссия_ВБ'!$B:$B;MATCH(C159;'_Комиссия_ВБ'!$A:$A;0));0,245)</f>
        <v/>
      </c>
      <c r="AH159" s="3">
        <f>AG159+AF159</f>
        <v/>
      </c>
      <c r="AI159" s="2">
        <f>L159*AH159</f>
        <v/>
      </c>
      <c r="AJ159" s="3">
        <f>IFERROR(INDEX('_Комиссия_ВБ'!$C:$C;MATCH(C159;'_Комиссия_ВБ'!$A:$A;0));0,28)</f>
        <v/>
      </c>
      <c r="AK159" s="3">
        <f>AJ159+AF159</f>
        <v/>
      </c>
      <c r="AL159" s="2">
        <f>L159*AK159</f>
        <v/>
      </c>
      <c r="AM159" s="2" t="n"/>
      <c r="AO159" s="3">
        <f>'_Настройки'!$B$5</f>
        <v/>
      </c>
      <c r="AP159" s="2">
        <f>IF(K159&gt;0;K159*AO159;0)</f>
        <v/>
      </c>
      <c r="AQ159" s="2">
        <f>L159-K159-AI159-AE159-IF(AM159&gt;0;AM159;'_Настройки'!$B$9)-AP159-AC159</f>
        <v/>
      </c>
      <c r="AR159" s="3">
        <f>IF(L159&gt;0;AQ159/L159;"")</f>
        <v/>
      </c>
      <c r="AS159" s="3">
        <f>IF(K159&gt;0;AQ159/K159;"")</f>
        <v/>
      </c>
      <c r="AT159" s="2">
        <f>L159-K159-AL159-AE159-IF(AM159&gt;0;AM159;'_Настройки'!$B$9)-AP159-AC159</f>
        <v/>
      </c>
      <c r="AU159" s="3">
        <f>IF(L159&gt;0;AT159/L159;"")</f>
        <v/>
      </c>
      <c r="AV159" s="3">
        <f>IF(K159&gt;0;AT159/K159;"")</f>
        <v/>
      </c>
    </row>
    <row r="160">
      <c r="A160">
        <f>ROW()-1</f>
        <v/>
      </c>
      <c r="K160" s="2">
        <f>IFERROR(INDEX('_Цены_закупки'!$B:$B;MATCH(C160;'_Цены_закупки'!$A:$A;0));"")</f>
        <v/>
      </c>
      <c r="L160" s="2" t="n"/>
      <c r="M160" s="2" t="n"/>
      <c r="N160" s="3">
        <f>IF(AND(M160&gt;0;L160&gt;0);1-L160/M160;"")</f>
        <v/>
      </c>
      <c r="O160" s="2">
        <f>IF(OR(Q160="";K160=0);"";(K160+IF(AM160&gt;0;AM160;'_Настройки'!$B$9)+AP160+AC160+Q160*K160)/(1-AH160-AD160))</f>
        <v/>
      </c>
      <c r="P160" s="2">
        <f>IF(O160="";"";O160-K160-O160*AH160-O160*AD160-IF(AM160&gt;0;AM160;'_Настройки'!$B$9)-AP160-AC160)</f>
        <v/>
      </c>
      <c r="Q160" s="3">
        <f>IF(AND(O160&gt;0;K160&gt;0);P160/K160;"")</f>
        <v/>
      </c>
      <c r="R160" s="2">
        <f>IF(O160="";"";O160-K160-O160*AK160-O160*AD160-IF(AM160&gt;0;AM160;'_Настройки'!$B$9)-AP160-AC160)</f>
        <v/>
      </c>
      <c r="S160" s="3">
        <f>IF(AND(O160&gt;0;K160&gt;0);R160/K160;"")</f>
        <v/>
      </c>
      <c r="T160" s="2" t="n"/>
      <c r="U160" s="3">
        <f>IF(AND(L160&gt;0;T160&gt;0);1-T160/L160;"")</f>
        <v/>
      </c>
      <c r="V160" s="3">
        <f>'_Настройки'!$B$4</f>
        <v/>
      </c>
      <c r="Z160" s="4">
        <f>IF(AND(W160&gt;0;X160&gt;0;Y160&gt;0);W160*X160*Y160/1000;"")</f>
        <v/>
      </c>
      <c r="AB160" s="2">
        <f>('_Настройки'!$B$6+MAX(0;Z160-1)*'_Настройки'!$B$7)*IF(AA160&gt;0;AA160;'_Настройки'!$B$10)</f>
        <v/>
      </c>
      <c r="AC160" s="2">
        <f>AB160*(1+'_Настройки'!$B$8)</f>
        <v/>
      </c>
      <c r="AD160" s="3">
        <f>'_Настройки'!$B$2</f>
        <v/>
      </c>
      <c r="AE160" s="2">
        <f>L160*AD160</f>
        <v/>
      </c>
      <c r="AF160" s="3">
        <f>'_Настройки'!$B$3</f>
        <v/>
      </c>
      <c r="AG160" s="3">
        <f>IFERROR(INDEX('_Комиссия_ВБ'!$B:$B;MATCH(C160;'_Комиссия_ВБ'!$A:$A;0));0,245)</f>
        <v/>
      </c>
      <c r="AH160" s="3">
        <f>AG160+AF160</f>
        <v/>
      </c>
      <c r="AI160" s="2">
        <f>L160*AH160</f>
        <v/>
      </c>
      <c r="AJ160" s="3">
        <f>IFERROR(INDEX('_Комиссия_ВБ'!$C:$C;MATCH(C160;'_Комиссия_ВБ'!$A:$A;0));0,28)</f>
        <v/>
      </c>
      <c r="AK160" s="3">
        <f>AJ160+AF160</f>
        <v/>
      </c>
      <c r="AL160" s="2">
        <f>L160*AK160</f>
        <v/>
      </c>
      <c r="AM160" s="2" t="n"/>
      <c r="AO160" s="3">
        <f>'_Настройки'!$B$5</f>
        <v/>
      </c>
      <c r="AP160" s="2">
        <f>IF(K160&gt;0;K160*AO160;0)</f>
        <v/>
      </c>
      <c r="AQ160" s="2">
        <f>L160-K160-AI160-AE160-IF(AM160&gt;0;AM160;'_Настройки'!$B$9)-AP160-AC160</f>
        <v/>
      </c>
      <c r="AR160" s="3">
        <f>IF(L160&gt;0;AQ160/L160;"")</f>
        <v/>
      </c>
      <c r="AS160" s="3">
        <f>IF(K160&gt;0;AQ160/K160;"")</f>
        <v/>
      </c>
      <c r="AT160" s="2">
        <f>L160-K160-AL160-AE160-IF(AM160&gt;0;AM160;'_Настройки'!$B$9)-AP160-AC160</f>
        <v/>
      </c>
      <c r="AU160" s="3">
        <f>IF(L160&gt;0;AT160/L160;"")</f>
        <v/>
      </c>
      <c r="AV160" s="3">
        <f>IF(K160&gt;0;AT160/K160;"")</f>
        <v/>
      </c>
    </row>
    <row r="161">
      <c r="A161">
        <f>ROW()-1</f>
        <v/>
      </c>
      <c r="K161" s="2">
        <f>IFERROR(INDEX('_Цены_закупки'!$B:$B;MATCH(C161;'_Цены_закупки'!$A:$A;0));"")</f>
        <v/>
      </c>
      <c r="L161" s="2" t="n"/>
      <c r="M161" s="2" t="n"/>
      <c r="N161" s="3">
        <f>IF(AND(M161&gt;0;L161&gt;0);1-L161/M161;"")</f>
        <v/>
      </c>
      <c r="O161" s="2">
        <f>IF(OR(Q161="";K161=0);"";(K161+IF(AM161&gt;0;AM161;'_Настройки'!$B$9)+AP161+AC161+Q161*K161)/(1-AH161-AD161))</f>
        <v/>
      </c>
      <c r="P161" s="2">
        <f>IF(O161="";"";O161-K161-O161*AH161-O161*AD161-IF(AM161&gt;0;AM161;'_Настройки'!$B$9)-AP161-AC161)</f>
        <v/>
      </c>
      <c r="Q161" s="3">
        <f>IF(AND(O161&gt;0;K161&gt;0);P161/K161;"")</f>
        <v/>
      </c>
      <c r="R161" s="2">
        <f>IF(O161="";"";O161-K161-O161*AK161-O161*AD161-IF(AM161&gt;0;AM161;'_Настройки'!$B$9)-AP161-AC161)</f>
        <v/>
      </c>
      <c r="S161" s="3">
        <f>IF(AND(O161&gt;0;K161&gt;0);R161/K161;"")</f>
        <v/>
      </c>
      <c r="T161" s="2" t="n"/>
      <c r="U161" s="3">
        <f>IF(AND(L161&gt;0;T161&gt;0);1-T161/L161;"")</f>
        <v/>
      </c>
      <c r="V161" s="3">
        <f>'_Настройки'!$B$4</f>
        <v/>
      </c>
      <c r="Z161" s="4">
        <f>IF(AND(W161&gt;0;X161&gt;0;Y161&gt;0);W161*X161*Y161/1000;"")</f>
        <v/>
      </c>
      <c r="AB161" s="2">
        <f>('_Настройки'!$B$6+MAX(0;Z161-1)*'_Настройки'!$B$7)*IF(AA161&gt;0;AA161;'_Настройки'!$B$10)</f>
        <v/>
      </c>
      <c r="AC161" s="2">
        <f>AB161*(1+'_Настройки'!$B$8)</f>
        <v/>
      </c>
      <c r="AD161" s="3">
        <f>'_Настройки'!$B$2</f>
        <v/>
      </c>
      <c r="AE161" s="2">
        <f>L161*AD161</f>
        <v/>
      </c>
      <c r="AF161" s="3">
        <f>'_Настройки'!$B$3</f>
        <v/>
      </c>
      <c r="AG161" s="3">
        <f>IFERROR(INDEX('_Комиссия_ВБ'!$B:$B;MATCH(C161;'_Комиссия_ВБ'!$A:$A;0));0,245)</f>
        <v/>
      </c>
      <c r="AH161" s="3">
        <f>AG161+AF161</f>
        <v/>
      </c>
      <c r="AI161" s="2">
        <f>L161*AH161</f>
        <v/>
      </c>
      <c r="AJ161" s="3">
        <f>IFERROR(INDEX('_Комиссия_ВБ'!$C:$C;MATCH(C161;'_Комиссия_ВБ'!$A:$A;0));0,28)</f>
        <v/>
      </c>
      <c r="AK161" s="3">
        <f>AJ161+AF161</f>
        <v/>
      </c>
      <c r="AL161" s="2">
        <f>L161*AK161</f>
        <v/>
      </c>
      <c r="AM161" s="2" t="n"/>
      <c r="AO161" s="3">
        <f>'_Настройки'!$B$5</f>
        <v/>
      </c>
      <c r="AP161" s="2">
        <f>IF(K161&gt;0;K161*AO161;0)</f>
        <v/>
      </c>
      <c r="AQ161" s="2">
        <f>L161-K161-AI161-AE161-IF(AM161&gt;0;AM161;'_Настройки'!$B$9)-AP161-AC161</f>
        <v/>
      </c>
      <c r="AR161" s="3">
        <f>IF(L161&gt;0;AQ161/L161;"")</f>
        <v/>
      </c>
      <c r="AS161" s="3">
        <f>IF(K161&gt;0;AQ161/K161;"")</f>
        <v/>
      </c>
      <c r="AT161" s="2">
        <f>L161-K161-AL161-AE161-IF(AM161&gt;0;AM161;'_Настройки'!$B$9)-AP161-AC161</f>
        <v/>
      </c>
      <c r="AU161" s="3">
        <f>IF(L161&gt;0;AT161/L161;"")</f>
        <v/>
      </c>
      <c r="AV161" s="3">
        <f>IF(K161&gt;0;AT161/K161;"")</f>
        <v/>
      </c>
    </row>
    <row r="162">
      <c r="A162">
        <f>ROW()-1</f>
        <v/>
      </c>
      <c r="K162" s="2">
        <f>IFERROR(INDEX('_Цены_закупки'!$B:$B;MATCH(C162;'_Цены_закупки'!$A:$A;0));"")</f>
        <v/>
      </c>
      <c r="L162" s="2" t="n"/>
      <c r="M162" s="2" t="n"/>
      <c r="N162" s="3">
        <f>IF(AND(M162&gt;0;L162&gt;0);1-L162/M162;"")</f>
        <v/>
      </c>
      <c r="O162" s="2">
        <f>IF(OR(Q162="";K162=0);"";(K162+IF(AM162&gt;0;AM162;'_Настройки'!$B$9)+AP162+AC162+Q162*K162)/(1-AH162-AD162))</f>
        <v/>
      </c>
      <c r="P162" s="2">
        <f>IF(O162="";"";O162-K162-O162*AH162-O162*AD162-IF(AM162&gt;0;AM162;'_Настройки'!$B$9)-AP162-AC162)</f>
        <v/>
      </c>
      <c r="Q162" s="3">
        <f>IF(AND(O162&gt;0;K162&gt;0);P162/K162;"")</f>
        <v/>
      </c>
      <c r="R162" s="2">
        <f>IF(O162="";"";O162-K162-O162*AK162-O162*AD162-IF(AM162&gt;0;AM162;'_Настройки'!$B$9)-AP162-AC162)</f>
        <v/>
      </c>
      <c r="S162" s="3">
        <f>IF(AND(O162&gt;0;K162&gt;0);R162/K162;"")</f>
        <v/>
      </c>
      <c r="T162" s="2" t="n"/>
      <c r="U162" s="3">
        <f>IF(AND(L162&gt;0;T162&gt;0);1-T162/L162;"")</f>
        <v/>
      </c>
      <c r="V162" s="3">
        <f>'_Настройки'!$B$4</f>
        <v/>
      </c>
      <c r="Z162" s="4">
        <f>IF(AND(W162&gt;0;X162&gt;0;Y162&gt;0);W162*X162*Y162/1000;"")</f>
        <v/>
      </c>
      <c r="AB162" s="2">
        <f>('_Настройки'!$B$6+MAX(0;Z162-1)*'_Настройки'!$B$7)*IF(AA162&gt;0;AA162;'_Настройки'!$B$10)</f>
        <v/>
      </c>
      <c r="AC162" s="2">
        <f>AB162*(1+'_Настройки'!$B$8)</f>
        <v/>
      </c>
      <c r="AD162" s="3">
        <f>'_Настройки'!$B$2</f>
        <v/>
      </c>
      <c r="AE162" s="2">
        <f>L162*AD162</f>
        <v/>
      </c>
      <c r="AF162" s="3">
        <f>'_Настройки'!$B$3</f>
        <v/>
      </c>
      <c r="AG162" s="3">
        <f>IFERROR(INDEX('_Комиссия_ВБ'!$B:$B;MATCH(C162;'_Комиссия_ВБ'!$A:$A;0));0,245)</f>
        <v/>
      </c>
      <c r="AH162" s="3">
        <f>AG162+AF162</f>
        <v/>
      </c>
      <c r="AI162" s="2">
        <f>L162*AH162</f>
        <v/>
      </c>
      <c r="AJ162" s="3">
        <f>IFERROR(INDEX('_Комиссия_ВБ'!$C:$C;MATCH(C162;'_Комиссия_ВБ'!$A:$A;0));0,28)</f>
        <v/>
      </c>
      <c r="AK162" s="3">
        <f>AJ162+AF162</f>
        <v/>
      </c>
      <c r="AL162" s="2">
        <f>L162*AK162</f>
        <v/>
      </c>
      <c r="AM162" s="2" t="n"/>
      <c r="AO162" s="3">
        <f>'_Настройки'!$B$5</f>
        <v/>
      </c>
      <c r="AP162" s="2">
        <f>IF(K162&gt;0;K162*AO162;0)</f>
        <v/>
      </c>
      <c r="AQ162" s="2">
        <f>L162-K162-AI162-AE162-IF(AM162&gt;0;AM162;'_Настройки'!$B$9)-AP162-AC162</f>
        <v/>
      </c>
      <c r="AR162" s="3">
        <f>IF(L162&gt;0;AQ162/L162;"")</f>
        <v/>
      </c>
      <c r="AS162" s="3">
        <f>IF(K162&gt;0;AQ162/K162;"")</f>
        <v/>
      </c>
      <c r="AT162" s="2">
        <f>L162-K162-AL162-AE162-IF(AM162&gt;0;AM162;'_Настройки'!$B$9)-AP162-AC162</f>
        <v/>
      </c>
      <c r="AU162" s="3">
        <f>IF(L162&gt;0;AT162/L162;"")</f>
        <v/>
      </c>
      <c r="AV162" s="3">
        <f>IF(K162&gt;0;AT162/K162;"")</f>
        <v/>
      </c>
    </row>
    <row r="163">
      <c r="A163">
        <f>ROW()-1</f>
        <v/>
      </c>
      <c r="K163" s="2">
        <f>IFERROR(INDEX('_Цены_закупки'!$B:$B;MATCH(C163;'_Цены_закупки'!$A:$A;0));"")</f>
        <v/>
      </c>
      <c r="L163" s="2" t="n"/>
      <c r="M163" s="2" t="n"/>
      <c r="N163" s="3">
        <f>IF(AND(M163&gt;0;L163&gt;0);1-L163/M163;"")</f>
        <v/>
      </c>
      <c r="O163" s="2">
        <f>IF(OR(Q163="";K163=0);"";(K163+IF(AM163&gt;0;AM163;'_Настройки'!$B$9)+AP163+AC163+Q163*K163)/(1-AH163-AD163))</f>
        <v/>
      </c>
      <c r="P163" s="2">
        <f>IF(O163="";"";O163-K163-O163*AH163-O163*AD163-IF(AM163&gt;0;AM163;'_Настройки'!$B$9)-AP163-AC163)</f>
        <v/>
      </c>
      <c r="Q163" s="3">
        <f>IF(AND(O163&gt;0;K163&gt;0);P163/K163;"")</f>
        <v/>
      </c>
      <c r="R163" s="2">
        <f>IF(O163="";"";O163-K163-O163*AK163-O163*AD163-IF(AM163&gt;0;AM163;'_Настройки'!$B$9)-AP163-AC163)</f>
        <v/>
      </c>
      <c r="S163" s="3">
        <f>IF(AND(O163&gt;0;K163&gt;0);R163/K163;"")</f>
        <v/>
      </c>
      <c r="T163" s="2" t="n"/>
      <c r="U163" s="3">
        <f>IF(AND(L163&gt;0;T163&gt;0);1-T163/L163;"")</f>
        <v/>
      </c>
      <c r="V163" s="3">
        <f>'_Настройки'!$B$4</f>
        <v/>
      </c>
      <c r="Z163" s="4">
        <f>IF(AND(W163&gt;0;X163&gt;0;Y163&gt;0);W163*X163*Y163/1000;"")</f>
        <v/>
      </c>
      <c r="AB163" s="2">
        <f>('_Настройки'!$B$6+MAX(0;Z163-1)*'_Настройки'!$B$7)*IF(AA163&gt;0;AA163;'_Настройки'!$B$10)</f>
        <v/>
      </c>
      <c r="AC163" s="2">
        <f>AB163*(1+'_Настройки'!$B$8)</f>
        <v/>
      </c>
      <c r="AD163" s="3">
        <f>'_Настройки'!$B$2</f>
        <v/>
      </c>
      <c r="AE163" s="2">
        <f>L163*AD163</f>
        <v/>
      </c>
      <c r="AF163" s="3">
        <f>'_Настройки'!$B$3</f>
        <v/>
      </c>
      <c r="AG163" s="3">
        <f>IFERROR(INDEX('_Комиссия_ВБ'!$B:$B;MATCH(C163;'_Комиссия_ВБ'!$A:$A;0));0,245)</f>
        <v/>
      </c>
      <c r="AH163" s="3">
        <f>AG163+AF163</f>
        <v/>
      </c>
      <c r="AI163" s="2">
        <f>L163*AH163</f>
        <v/>
      </c>
      <c r="AJ163" s="3">
        <f>IFERROR(INDEX('_Комиссия_ВБ'!$C:$C;MATCH(C163;'_Комиссия_ВБ'!$A:$A;0));0,28)</f>
        <v/>
      </c>
      <c r="AK163" s="3">
        <f>AJ163+AF163</f>
        <v/>
      </c>
      <c r="AL163" s="2">
        <f>L163*AK163</f>
        <v/>
      </c>
      <c r="AM163" s="2" t="n"/>
      <c r="AO163" s="3">
        <f>'_Настройки'!$B$5</f>
        <v/>
      </c>
      <c r="AP163" s="2">
        <f>IF(K163&gt;0;K163*AO163;0)</f>
        <v/>
      </c>
      <c r="AQ163" s="2">
        <f>L163-K163-AI163-AE163-IF(AM163&gt;0;AM163;'_Настройки'!$B$9)-AP163-AC163</f>
        <v/>
      </c>
      <c r="AR163" s="3">
        <f>IF(L163&gt;0;AQ163/L163;"")</f>
        <v/>
      </c>
      <c r="AS163" s="3">
        <f>IF(K163&gt;0;AQ163/K163;"")</f>
        <v/>
      </c>
      <c r="AT163" s="2">
        <f>L163-K163-AL163-AE163-IF(AM163&gt;0;AM163;'_Настройки'!$B$9)-AP163-AC163</f>
        <v/>
      </c>
      <c r="AU163" s="3">
        <f>IF(L163&gt;0;AT163/L163;"")</f>
        <v/>
      </c>
      <c r="AV163" s="3">
        <f>IF(K163&gt;0;AT163/K163;"")</f>
        <v/>
      </c>
    </row>
    <row r="164">
      <c r="A164">
        <f>ROW()-1</f>
        <v/>
      </c>
      <c r="K164" s="2">
        <f>IFERROR(INDEX('_Цены_закупки'!$B:$B;MATCH(C164;'_Цены_закупки'!$A:$A;0));"")</f>
        <v/>
      </c>
      <c r="L164" s="2" t="n"/>
      <c r="M164" s="2" t="n"/>
      <c r="N164" s="3">
        <f>IF(AND(M164&gt;0;L164&gt;0);1-L164/M164;"")</f>
        <v/>
      </c>
      <c r="O164" s="2">
        <f>IF(OR(Q164="";K164=0);"";(K164+IF(AM164&gt;0;AM164;'_Настройки'!$B$9)+AP164+AC164+Q164*K164)/(1-AH164-AD164))</f>
        <v/>
      </c>
      <c r="P164" s="2">
        <f>IF(O164="";"";O164-K164-O164*AH164-O164*AD164-IF(AM164&gt;0;AM164;'_Настройки'!$B$9)-AP164-AC164)</f>
        <v/>
      </c>
      <c r="Q164" s="3">
        <f>IF(AND(O164&gt;0;K164&gt;0);P164/K164;"")</f>
        <v/>
      </c>
      <c r="R164" s="2">
        <f>IF(O164="";"";O164-K164-O164*AK164-O164*AD164-IF(AM164&gt;0;AM164;'_Настройки'!$B$9)-AP164-AC164)</f>
        <v/>
      </c>
      <c r="S164" s="3">
        <f>IF(AND(O164&gt;0;K164&gt;0);R164/K164;"")</f>
        <v/>
      </c>
      <c r="T164" s="2" t="n"/>
      <c r="U164" s="3">
        <f>IF(AND(L164&gt;0;T164&gt;0);1-T164/L164;"")</f>
        <v/>
      </c>
      <c r="V164" s="3">
        <f>'_Настройки'!$B$4</f>
        <v/>
      </c>
      <c r="Z164" s="4">
        <f>IF(AND(W164&gt;0;X164&gt;0;Y164&gt;0);W164*X164*Y164/1000;"")</f>
        <v/>
      </c>
      <c r="AB164" s="2">
        <f>('_Настройки'!$B$6+MAX(0;Z164-1)*'_Настройки'!$B$7)*IF(AA164&gt;0;AA164;'_Настройки'!$B$10)</f>
        <v/>
      </c>
      <c r="AC164" s="2">
        <f>AB164*(1+'_Настройки'!$B$8)</f>
        <v/>
      </c>
      <c r="AD164" s="3">
        <f>'_Настройки'!$B$2</f>
        <v/>
      </c>
      <c r="AE164" s="2">
        <f>L164*AD164</f>
        <v/>
      </c>
      <c r="AF164" s="3">
        <f>'_Настройки'!$B$3</f>
        <v/>
      </c>
      <c r="AG164" s="3">
        <f>IFERROR(INDEX('_Комиссия_ВБ'!$B:$B;MATCH(C164;'_Комиссия_ВБ'!$A:$A;0));0,245)</f>
        <v/>
      </c>
      <c r="AH164" s="3">
        <f>AG164+AF164</f>
        <v/>
      </c>
      <c r="AI164" s="2">
        <f>L164*AH164</f>
        <v/>
      </c>
      <c r="AJ164" s="3">
        <f>IFERROR(INDEX('_Комиссия_ВБ'!$C:$C;MATCH(C164;'_Комиссия_ВБ'!$A:$A;0));0,28)</f>
        <v/>
      </c>
      <c r="AK164" s="3">
        <f>AJ164+AF164</f>
        <v/>
      </c>
      <c r="AL164" s="2">
        <f>L164*AK164</f>
        <v/>
      </c>
      <c r="AM164" s="2" t="n"/>
      <c r="AO164" s="3">
        <f>'_Настройки'!$B$5</f>
        <v/>
      </c>
      <c r="AP164" s="2">
        <f>IF(K164&gt;0;K164*AO164;0)</f>
        <v/>
      </c>
      <c r="AQ164" s="2">
        <f>L164-K164-AI164-AE164-IF(AM164&gt;0;AM164;'_Настройки'!$B$9)-AP164-AC164</f>
        <v/>
      </c>
      <c r="AR164" s="3">
        <f>IF(L164&gt;0;AQ164/L164;"")</f>
        <v/>
      </c>
      <c r="AS164" s="3">
        <f>IF(K164&gt;0;AQ164/K164;"")</f>
        <v/>
      </c>
      <c r="AT164" s="2">
        <f>L164-K164-AL164-AE164-IF(AM164&gt;0;AM164;'_Настройки'!$B$9)-AP164-AC164</f>
        <v/>
      </c>
      <c r="AU164" s="3">
        <f>IF(L164&gt;0;AT164/L164;"")</f>
        <v/>
      </c>
      <c r="AV164" s="3">
        <f>IF(K164&gt;0;AT164/K164;"")</f>
        <v/>
      </c>
    </row>
    <row r="165">
      <c r="A165">
        <f>ROW()-1</f>
        <v/>
      </c>
      <c r="K165" s="2">
        <f>IFERROR(INDEX('_Цены_закупки'!$B:$B;MATCH(C165;'_Цены_закупки'!$A:$A;0));"")</f>
        <v/>
      </c>
      <c r="L165" s="2" t="n"/>
      <c r="M165" s="2" t="n"/>
      <c r="N165" s="3">
        <f>IF(AND(M165&gt;0;L165&gt;0);1-L165/M165;"")</f>
        <v/>
      </c>
      <c r="O165" s="2">
        <f>IF(OR(Q165="";K165=0);"";(K165+IF(AM165&gt;0;AM165;'_Настройки'!$B$9)+AP165+AC165+Q165*K165)/(1-AH165-AD165))</f>
        <v/>
      </c>
      <c r="P165" s="2">
        <f>IF(O165="";"";O165-K165-O165*AH165-O165*AD165-IF(AM165&gt;0;AM165;'_Настройки'!$B$9)-AP165-AC165)</f>
        <v/>
      </c>
      <c r="Q165" s="3">
        <f>IF(AND(O165&gt;0;K165&gt;0);P165/K165;"")</f>
        <v/>
      </c>
      <c r="R165" s="2">
        <f>IF(O165="";"";O165-K165-O165*AK165-O165*AD165-IF(AM165&gt;0;AM165;'_Настройки'!$B$9)-AP165-AC165)</f>
        <v/>
      </c>
      <c r="S165" s="3">
        <f>IF(AND(O165&gt;0;K165&gt;0);R165/K165;"")</f>
        <v/>
      </c>
      <c r="T165" s="2" t="n"/>
      <c r="U165" s="3">
        <f>IF(AND(L165&gt;0;T165&gt;0);1-T165/L165;"")</f>
        <v/>
      </c>
      <c r="V165" s="3">
        <f>'_Настройки'!$B$4</f>
        <v/>
      </c>
      <c r="Z165" s="4">
        <f>IF(AND(W165&gt;0;X165&gt;0;Y165&gt;0);W165*X165*Y165/1000;"")</f>
        <v/>
      </c>
      <c r="AB165" s="2">
        <f>('_Настройки'!$B$6+MAX(0;Z165-1)*'_Настройки'!$B$7)*IF(AA165&gt;0;AA165;'_Настройки'!$B$10)</f>
        <v/>
      </c>
      <c r="AC165" s="2">
        <f>AB165*(1+'_Настройки'!$B$8)</f>
        <v/>
      </c>
      <c r="AD165" s="3">
        <f>'_Настройки'!$B$2</f>
        <v/>
      </c>
      <c r="AE165" s="2">
        <f>L165*AD165</f>
        <v/>
      </c>
      <c r="AF165" s="3">
        <f>'_Настройки'!$B$3</f>
        <v/>
      </c>
      <c r="AG165" s="3">
        <f>IFERROR(INDEX('_Комиссия_ВБ'!$B:$B;MATCH(C165;'_Комиссия_ВБ'!$A:$A;0));0,245)</f>
        <v/>
      </c>
      <c r="AH165" s="3">
        <f>AG165+AF165</f>
        <v/>
      </c>
      <c r="AI165" s="2">
        <f>L165*AH165</f>
        <v/>
      </c>
      <c r="AJ165" s="3">
        <f>IFERROR(INDEX('_Комиссия_ВБ'!$C:$C;MATCH(C165;'_Комиссия_ВБ'!$A:$A;0));0,28)</f>
        <v/>
      </c>
      <c r="AK165" s="3">
        <f>AJ165+AF165</f>
        <v/>
      </c>
      <c r="AL165" s="2">
        <f>L165*AK165</f>
        <v/>
      </c>
      <c r="AM165" s="2" t="n"/>
      <c r="AO165" s="3">
        <f>'_Настройки'!$B$5</f>
        <v/>
      </c>
      <c r="AP165" s="2">
        <f>IF(K165&gt;0;K165*AO165;0)</f>
        <v/>
      </c>
      <c r="AQ165" s="2">
        <f>L165-K165-AI165-AE165-IF(AM165&gt;0;AM165;'_Настройки'!$B$9)-AP165-AC165</f>
        <v/>
      </c>
      <c r="AR165" s="3">
        <f>IF(L165&gt;0;AQ165/L165;"")</f>
        <v/>
      </c>
      <c r="AS165" s="3">
        <f>IF(K165&gt;0;AQ165/K165;"")</f>
        <v/>
      </c>
      <c r="AT165" s="2">
        <f>L165-K165-AL165-AE165-IF(AM165&gt;0;AM165;'_Настройки'!$B$9)-AP165-AC165</f>
        <v/>
      </c>
      <c r="AU165" s="3">
        <f>IF(L165&gt;0;AT165/L165;"")</f>
        <v/>
      </c>
      <c r="AV165" s="3">
        <f>IF(K165&gt;0;AT165/K165;"")</f>
        <v/>
      </c>
    </row>
    <row r="166">
      <c r="A166">
        <f>ROW()-1</f>
        <v/>
      </c>
      <c r="K166" s="2">
        <f>IFERROR(INDEX('_Цены_закупки'!$B:$B;MATCH(C166;'_Цены_закупки'!$A:$A;0));"")</f>
        <v/>
      </c>
      <c r="L166" s="2" t="n"/>
      <c r="M166" s="2" t="n"/>
      <c r="N166" s="3">
        <f>IF(AND(M166&gt;0;L166&gt;0);1-L166/M166;"")</f>
        <v/>
      </c>
      <c r="O166" s="2">
        <f>IF(OR(Q166="";K166=0);"";(K166+IF(AM166&gt;0;AM166;'_Настройки'!$B$9)+AP166+AC166+Q166*K166)/(1-AH166-AD166))</f>
        <v/>
      </c>
      <c r="P166" s="2">
        <f>IF(O166="";"";O166-K166-O166*AH166-O166*AD166-IF(AM166&gt;0;AM166;'_Настройки'!$B$9)-AP166-AC166)</f>
        <v/>
      </c>
      <c r="Q166" s="3">
        <f>IF(AND(O166&gt;0;K166&gt;0);P166/K166;"")</f>
        <v/>
      </c>
      <c r="R166" s="2">
        <f>IF(O166="";"";O166-K166-O166*AK166-O166*AD166-IF(AM166&gt;0;AM166;'_Настройки'!$B$9)-AP166-AC166)</f>
        <v/>
      </c>
      <c r="S166" s="3">
        <f>IF(AND(O166&gt;0;K166&gt;0);R166/K166;"")</f>
        <v/>
      </c>
      <c r="T166" s="2" t="n"/>
      <c r="U166" s="3">
        <f>IF(AND(L166&gt;0;T166&gt;0);1-T166/L166;"")</f>
        <v/>
      </c>
      <c r="V166" s="3">
        <f>'_Настройки'!$B$4</f>
        <v/>
      </c>
      <c r="Z166" s="4">
        <f>IF(AND(W166&gt;0;X166&gt;0;Y166&gt;0);W166*X166*Y166/1000;"")</f>
        <v/>
      </c>
      <c r="AB166" s="2">
        <f>('_Настройки'!$B$6+MAX(0;Z166-1)*'_Настройки'!$B$7)*IF(AA166&gt;0;AA166;'_Настройки'!$B$10)</f>
        <v/>
      </c>
      <c r="AC166" s="2">
        <f>AB166*(1+'_Настройки'!$B$8)</f>
        <v/>
      </c>
      <c r="AD166" s="3">
        <f>'_Настройки'!$B$2</f>
        <v/>
      </c>
      <c r="AE166" s="2">
        <f>L166*AD166</f>
        <v/>
      </c>
      <c r="AF166" s="3">
        <f>'_Настройки'!$B$3</f>
        <v/>
      </c>
      <c r="AG166" s="3">
        <f>IFERROR(INDEX('_Комиссия_ВБ'!$B:$B;MATCH(C166;'_Комиссия_ВБ'!$A:$A;0));0,245)</f>
        <v/>
      </c>
      <c r="AH166" s="3">
        <f>AG166+AF166</f>
        <v/>
      </c>
      <c r="AI166" s="2">
        <f>L166*AH166</f>
        <v/>
      </c>
      <c r="AJ166" s="3">
        <f>IFERROR(INDEX('_Комиссия_ВБ'!$C:$C;MATCH(C166;'_Комиссия_ВБ'!$A:$A;0));0,28)</f>
        <v/>
      </c>
      <c r="AK166" s="3">
        <f>AJ166+AF166</f>
        <v/>
      </c>
      <c r="AL166" s="2">
        <f>L166*AK166</f>
        <v/>
      </c>
      <c r="AM166" s="2" t="n"/>
      <c r="AO166" s="3">
        <f>'_Настройки'!$B$5</f>
        <v/>
      </c>
      <c r="AP166" s="2">
        <f>IF(K166&gt;0;K166*AO166;0)</f>
        <v/>
      </c>
      <c r="AQ166" s="2">
        <f>L166-K166-AI166-AE166-IF(AM166&gt;0;AM166;'_Настройки'!$B$9)-AP166-AC166</f>
        <v/>
      </c>
      <c r="AR166" s="3">
        <f>IF(L166&gt;0;AQ166/L166;"")</f>
        <v/>
      </c>
      <c r="AS166" s="3">
        <f>IF(K166&gt;0;AQ166/K166;"")</f>
        <v/>
      </c>
      <c r="AT166" s="2">
        <f>L166-K166-AL166-AE166-IF(AM166&gt;0;AM166;'_Настройки'!$B$9)-AP166-AC166</f>
        <v/>
      </c>
      <c r="AU166" s="3">
        <f>IF(L166&gt;0;AT166/L166;"")</f>
        <v/>
      </c>
      <c r="AV166" s="3">
        <f>IF(K166&gt;0;AT166/K166;"")</f>
        <v/>
      </c>
    </row>
    <row r="167">
      <c r="A167">
        <f>ROW()-1</f>
        <v/>
      </c>
      <c r="K167" s="2">
        <f>IFERROR(INDEX('_Цены_закупки'!$B:$B;MATCH(C167;'_Цены_закупки'!$A:$A;0));"")</f>
        <v/>
      </c>
      <c r="L167" s="2" t="n"/>
      <c r="M167" s="2" t="n"/>
      <c r="N167" s="3">
        <f>IF(AND(M167&gt;0;L167&gt;0);1-L167/M167;"")</f>
        <v/>
      </c>
      <c r="O167" s="2">
        <f>IF(OR(Q167="";K167=0);"";(K167+IF(AM167&gt;0;AM167;'_Настройки'!$B$9)+AP167+AC167+Q167*K167)/(1-AH167-AD167))</f>
        <v/>
      </c>
      <c r="P167" s="2">
        <f>IF(O167="";"";O167-K167-O167*AH167-O167*AD167-IF(AM167&gt;0;AM167;'_Настройки'!$B$9)-AP167-AC167)</f>
        <v/>
      </c>
      <c r="Q167" s="3">
        <f>IF(AND(O167&gt;0;K167&gt;0);P167/K167;"")</f>
        <v/>
      </c>
      <c r="R167" s="2">
        <f>IF(O167="";"";O167-K167-O167*AK167-O167*AD167-IF(AM167&gt;0;AM167;'_Настройки'!$B$9)-AP167-AC167)</f>
        <v/>
      </c>
      <c r="S167" s="3">
        <f>IF(AND(O167&gt;0;K167&gt;0);R167/K167;"")</f>
        <v/>
      </c>
      <c r="T167" s="2" t="n"/>
      <c r="U167" s="3">
        <f>IF(AND(L167&gt;0;T167&gt;0);1-T167/L167;"")</f>
        <v/>
      </c>
      <c r="V167" s="3">
        <f>'_Настройки'!$B$4</f>
        <v/>
      </c>
      <c r="Z167" s="4">
        <f>IF(AND(W167&gt;0;X167&gt;0;Y167&gt;0);W167*X167*Y167/1000;"")</f>
        <v/>
      </c>
      <c r="AB167" s="2">
        <f>('_Настройки'!$B$6+MAX(0;Z167-1)*'_Настройки'!$B$7)*IF(AA167&gt;0;AA167;'_Настройки'!$B$10)</f>
        <v/>
      </c>
      <c r="AC167" s="2">
        <f>AB167*(1+'_Настройки'!$B$8)</f>
        <v/>
      </c>
      <c r="AD167" s="3">
        <f>'_Настройки'!$B$2</f>
        <v/>
      </c>
      <c r="AE167" s="2">
        <f>L167*AD167</f>
        <v/>
      </c>
      <c r="AF167" s="3">
        <f>'_Настройки'!$B$3</f>
        <v/>
      </c>
      <c r="AG167" s="3">
        <f>IFERROR(INDEX('_Комиссия_ВБ'!$B:$B;MATCH(C167;'_Комиссия_ВБ'!$A:$A;0));0,245)</f>
        <v/>
      </c>
      <c r="AH167" s="3">
        <f>AG167+AF167</f>
        <v/>
      </c>
      <c r="AI167" s="2">
        <f>L167*AH167</f>
        <v/>
      </c>
      <c r="AJ167" s="3">
        <f>IFERROR(INDEX('_Комиссия_ВБ'!$C:$C;MATCH(C167;'_Комиссия_ВБ'!$A:$A;0));0,28)</f>
        <v/>
      </c>
      <c r="AK167" s="3">
        <f>AJ167+AF167</f>
        <v/>
      </c>
      <c r="AL167" s="2">
        <f>L167*AK167</f>
        <v/>
      </c>
      <c r="AM167" s="2" t="n"/>
      <c r="AO167" s="3">
        <f>'_Настройки'!$B$5</f>
        <v/>
      </c>
      <c r="AP167" s="2">
        <f>IF(K167&gt;0;K167*AO167;0)</f>
        <v/>
      </c>
      <c r="AQ167" s="2">
        <f>L167-K167-AI167-AE167-IF(AM167&gt;0;AM167;'_Настройки'!$B$9)-AP167-AC167</f>
        <v/>
      </c>
      <c r="AR167" s="3">
        <f>IF(L167&gt;0;AQ167/L167;"")</f>
        <v/>
      </c>
      <c r="AS167" s="3">
        <f>IF(K167&gt;0;AQ167/K167;"")</f>
        <v/>
      </c>
      <c r="AT167" s="2">
        <f>L167-K167-AL167-AE167-IF(AM167&gt;0;AM167;'_Настройки'!$B$9)-AP167-AC167</f>
        <v/>
      </c>
      <c r="AU167" s="3">
        <f>IF(L167&gt;0;AT167/L167;"")</f>
        <v/>
      </c>
      <c r="AV167" s="3">
        <f>IF(K167&gt;0;AT167/K167;"")</f>
        <v/>
      </c>
    </row>
    <row r="168">
      <c r="A168">
        <f>ROW()-1</f>
        <v/>
      </c>
      <c r="K168" s="2">
        <f>IFERROR(INDEX('_Цены_закупки'!$B:$B;MATCH(C168;'_Цены_закупки'!$A:$A;0));"")</f>
        <v/>
      </c>
      <c r="L168" s="2" t="n"/>
      <c r="M168" s="2" t="n"/>
      <c r="N168" s="3">
        <f>IF(AND(M168&gt;0;L168&gt;0);1-L168/M168;"")</f>
        <v/>
      </c>
      <c r="O168" s="2">
        <f>IF(OR(Q168="";K168=0);"";(K168+IF(AM168&gt;0;AM168;'_Настройки'!$B$9)+AP168+AC168+Q168*K168)/(1-AH168-AD168))</f>
        <v/>
      </c>
      <c r="P168" s="2">
        <f>IF(O168="";"";O168-K168-O168*AH168-O168*AD168-IF(AM168&gt;0;AM168;'_Настройки'!$B$9)-AP168-AC168)</f>
        <v/>
      </c>
      <c r="Q168" s="3">
        <f>IF(AND(O168&gt;0;K168&gt;0);P168/K168;"")</f>
        <v/>
      </c>
      <c r="R168" s="2">
        <f>IF(O168="";"";O168-K168-O168*AK168-O168*AD168-IF(AM168&gt;0;AM168;'_Настройки'!$B$9)-AP168-AC168)</f>
        <v/>
      </c>
      <c r="S168" s="3">
        <f>IF(AND(O168&gt;0;K168&gt;0);R168/K168;"")</f>
        <v/>
      </c>
      <c r="T168" s="2" t="n"/>
      <c r="U168" s="3">
        <f>IF(AND(L168&gt;0;T168&gt;0);1-T168/L168;"")</f>
        <v/>
      </c>
      <c r="V168" s="3">
        <f>'_Настройки'!$B$4</f>
        <v/>
      </c>
      <c r="Z168" s="4">
        <f>IF(AND(W168&gt;0;X168&gt;0;Y168&gt;0);W168*X168*Y168/1000;"")</f>
        <v/>
      </c>
      <c r="AB168" s="2">
        <f>('_Настройки'!$B$6+MAX(0;Z168-1)*'_Настройки'!$B$7)*IF(AA168&gt;0;AA168;'_Настройки'!$B$10)</f>
        <v/>
      </c>
      <c r="AC168" s="2">
        <f>AB168*(1+'_Настройки'!$B$8)</f>
        <v/>
      </c>
      <c r="AD168" s="3">
        <f>'_Настройки'!$B$2</f>
        <v/>
      </c>
      <c r="AE168" s="2">
        <f>L168*AD168</f>
        <v/>
      </c>
      <c r="AF168" s="3">
        <f>'_Настройки'!$B$3</f>
        <v/>
      </c>
      <c r="AG168" s="3">
        <f>IFERROR(INDEX('_Комиссия_ВБ'!$B:$B;MATCH(C168;'_Комиссия_ВБ'!$A:$A;0));0,245)</f>
        <v/>
      </c>
      <c r="AH168" s="3">
        <f>AG168+AF168</f>
        <v/>
      </c>
      <c r="AI168" s="2">
        <f>L168*AH168</f>
        <v/>
      </c>
      <c r="AJ168" s="3">
        <f>IFERROR(INDEX('_Комиссия_ВБ'!$C:$C;MATCH(C168;'_Комиссия_ВБ'!$A:$A;0));0,28)</f>
        <v/>
      </c>
      <c r="AK168" s="3">
        <f>AJ168+AF168</f>
        <v/>
      </c>
      <c r="AL168" s="2">
        <f>L168*AK168</f>
        <v/>
      </c>
      <c r="AM168" s="2" t="n"/>
      <c r="AO168" s="3">
        <f>'_Настройки'!$B$5</f>
        <v/>
      </c>
      <c r="AP168" s="2">
        <f>IF(K168&gt;0;K168*AO168;0)</f>
        <v/>
      </c>
      <c r="AQ168" s="2">
        <f>L168-K168-AI168-AE168-IF(AM168&gt;0;AM168;'_Настройки'!$B$9)-AP168-AC168</f>
        <v/>
      </c>
      <c r="AR168" s="3">
        <f>IF(L168&gt;0;AQ168/L168;"")</f>
        <v/>
      </c>
      <c r="AS168" s="3">
        <f>IF(K168&gt;0;AQ168/K168;"")</f>
        <v/>
      </c>
      <c r="AT168" s="2">
        <f>L168-K168-AL168-AE168-IF(AM168&gt;0;AM168;'_Настройки'!$B$9)-AP168-AC168</f>
        <v/>
      </c>
      <c r="AU168" s="3">
        <f>IF(L168&gt;0;AT168/L168;"")</f>
        <v/>
      </c>
      <c r="AV168" s="3">
        <f>IF(K168&gt;0;AT168/K168;"")</f>
        <v/>
      </c>
    </row>
    <row r="169">
      <c r="A169">
        <f>ROW()-1</f>
        <v/>
      </c>
      <c r="K169" s="2">
        <f>IFERROR(INDEX('_Цены_закупки'!$B:$B;MATCH(C169;'_Цены_закупки'!$A:$A;0));"")</f>
        <v/>
      </c>
      <c r="L169" s="2" t="n"/>
      <c r="M169" s="2" t="n"/>
      <c r="N169" s="3">
        <f>IF(AND(M169&gt;0;L169&gt;0);1-L169/M169;"")</f>
        <v/>
      </c>
      <c r="O169" s="2">
        <f>IF(OR(Q169="";K169=0);"";(K169+IF(AM169&gt;0;AM169;'_Настройки'!$B$9)+AP169+AC169+Q169*K169)/(1-AH169-AD169))</f>
        <v/>
      </c>
      <c r="P169" s="2">
        <f>IF(O169="";"";O169-K169-O169*AH169-O169*AD169-IF(AM169&gt;0;AM169;'_Настройки'!$B$9)-AP169-AC169)</f>
        <v/>
      </c>
      <c r="Q169" s="3">
        <f>IF(AND(O169&gt;0;K169&gt;0);P169/K169;"")</f>
        <v/>
      </c>
      <c r="R169" s="2">
        <f>IF(O169="";"";O169-K169-O169*AK169-O169*AD169-IF(AM169&gt;0;AM169;'_Настройки'!$B$9)-AP169-AC169)</f>
        <v/>
      </c>
      <c r="S169" s="3">
        <f>IF(AND(O169&gt;0;K169&gt;0);R169/K169;"")</f>
        <v/>
      </c>
      <c r="T169" s="2" t="n"/>
      <c r="U169" s="3">
        <f>IF(AND(L169&gt;0;T169&gt;0);1-T169/L169;"")</f>
        <v/>
      </c>
      <c r="V169" s="3">
        <f>'_Настройки'!$B$4</f>
        <v/>
      </c>
      <c r="Z169" s="4">
        <f>IF(AND(W169&gt;0;X169&gt;0;Y169&gt;0);W169*X169*Y169/1000;"")</f>
        <v/>
      </c>
      <c r="AB169" s="2">
        <f>('_Настройки'!$B$6+MAX(0;Z169-1)*'_Настройки'!$B$7)*IF(AA169&gt;0;AA169;'_Настройки'!$B$10)</f>
        <v/>
      </c>
      <c r="AC169" s="2">
        <f>AB169*(1+'_Настройки'!$B$8)</f>
        <v/>
      </c>
      <c r="AD169" s="3">
        <f>'_Настройки'!$B$2</f>
        <v/>
      </c>
      <c r="AE169" s="2">
        <f>L169*AD169</f>
        <v/>
      </c>
      <c r="AF169" s="3">
        <f>'_Настройки'!$B$3</f>
        <v/>
      </c>
      <c r="AG169" s="3">
        <f>IFERROR(INDEX('_Комиссия_ВБ'!$B:$B;MATCH(C169;'_Комиссия_ВБ'!$A:$A;0));0,245)</f>
        <v/>
      </c>
      <c r="AH169" s="3">
        <f>AG169+AF169</f>
        <v/>
      </c>
      <c r="AI169" s="2">
        <f>L169*AH169</f>
        <v/>
      </c>
      <c r="AJ169" s="3">
        <f>IFERROR(INDEX('_Комиссия_ВБ'!$C:$C;MATCH(C169;'_Комиссия_ВБ'!$A:$A;0));0,28)</f>
        <v/>
      </c>
      <c r="AK169" s="3">
        <f>AJ169+AF169</f>
        <v/>
      </c>
      <c r="AL169" s="2">
        <f>L169*AK169</f>
        <v/>
      </c>
      <c r="AM169" s="2" t="n"/>
      <c r="AO169" s="3">
        <f>'_Настройки'!$B$5</f>
        <v/>
      </c>
      <c r="AP169" s="2">
        <f>IF(K169&gt;0;K169*AO169;0)</f>
        <v/>
      </c>
      <c r="AQ169" s="2">
        <f>L169-K169-AI169-AE169-IF(AM169&gt;0;AM169;'_Настройки'!$B$9)-AP169-AC169</f>
        <v/>
      </c>
      <c r="AR169" s="3">
        <f>IF(L169&gt;0;AQ169/L169;"")</f>
        <v/>
      </c>
      <c r="AS169" s="3">
        <f>IF(K169&gt;0;AQ169/K169;"")</f>
        <v/>
      </c>
      <c r="AT169" s="2">
        <f>L169-K169-AL169-AE169-IF(AM169&gt;0;AM169;'_Настройки'!$B$9)-AP169-AC169</f>
        <v/>
      </c>
      <c r="AU169" s="3">
        <f>IF(L169&gt;0;AT169/L169;"")</f>
        <v/>
      </c>
      <c r="AV169" s="3">
        <f>IF(K169&gt;0;AT169/K169;"")</f>
        <v/>
      </c>
    </row>
    <row r="170">
      <c r="A170">
        <f>ROW()-1</f>
        <v/>
      </c>
      <c r="K170" s="2">
        <f>IFERROR(INDEX('_Цены_закупки'!$B:$B;MATCH(C170;'_Цены_закупки'!$A:$A;0));"")</f>
        <v/>
      </c>
      <c r="L170" s="2" t="n"/>
      <c r="M170" s="2" t="n"/>
      <c r="N170" s="3">
        <f>IF(AND(M170&gt;0;L170&gt;0);1-L170/M170;"")</f>
        <v/>
      </c>
      <c r="O170" s="2">
        <f>IF(OR(Q170="";K170=0);"";(K170+IF(AM170&gt;0;AM170;'_Настройки'!$B$9)+AP170+AC170+Q170*K170)/(1-AH170-AD170))</f>
        <v/>
      </c>
      <c r="P170" s="2">
        <f>IF(O170="";"";O170-K170-O170*AH170-O170*AD170-IF(AM170&gt;0;AM170;'_Настройки'!$B$9)-AP170-AC170)</f>
        <v/>
      </c>
      <c r="Q170" s="3">
        <f>IF(AND(O170&gt;0;K170&gt;0);P170/K170;"")</f>
        <v/>
      </c>
      <c r="R170" s="2">
        <f>IF(O170="";"";O170-K170-O170*AK170-O170*AD170-IF(AM170&gt;0;AM170;'_Настройки'!$B$9)-AP170-AC170)</f>
        <v/>
      </c>
      <c r="S170" s="3">
        <f>IF(AND(O170&gt;0;K170&gt;0);R170/K170;"")</f>
        <v/>
      </c>
      <c r="T170" s="2" t="n"/>
      <c r="U170" s="3">
        <f>IF(AND(L170&gt;0;T170&gt;0);1-T170/L170;"")</f>
        <v/>
      </c>
      <c r="V170" s="3">
        <f>'_Настройки'!$B$4</f>
        <v/>
      </c>
      <c r="Z170" s="4">
        <f>IF(AND(W170&gt;0;X170&gt;0;Y170&gt;0);W170*X170*Y170/1000;"")</f>
        <v/>
      </c>
      <c r="AB170" s="2">
        <f>('_Настройки'!$B$6+MAX(0;Z170-1)*'_Настройки'!$B$7)*IF(AA170&gt;0;AA170;'_Настройки'!$B$10)</f>
        <v/>
      </c>
      <c r="AC170" s="2">
        <f>AB170*(1+'_Настройки'!$B$8)</f>
        <v/>
      </c>
      <c r="AD170" s="3">
        <f>'_Настройки'!$B$2</f>
        <v/>
      </c>
      <c r="AE170" s="2">
        <f>L170*AD170</f>
        <v/>
      </c>
      <c r="AF170" s="3">
        <f>'_Настройки'!$B$3</f>
        <v/>
      </c>
      <c r="AG170" s="3">
        <f>IFERROR(INDEX('_Комиссия_ВБ'!$B:$B;MATCH(C170;'_Комиссия_ВБ'!$A:$A;0));0,245)</f>
        <v/>
      </c>
      <c r="AH170" s="3">
        <f>AG170+AF170</f>
        <v/>
      </c>
      <c r="AI170" s="2">
        <f>L170*AH170</f>
        <v/>
      </c>
      <c r="AJ170" s="3">
        <f>IFERROR(INDEX('_Комиссия_ВБ'!$C:$C;MATCH(C170;'_Комиссия_ВБ'!$A:$A;0));0,28)</f>
        <v/>
      </c>
      <c r="AK170" s="3">
        <f>AJ170+AF170</f>
        <v/>
      </c>
      <c r="AL170" s="2">
        <f>L170*AK170</f>
        <v/>
      </c>
      <c r="AM170" s="2" t="n"/>
      <c r="AO170" s="3">
        <f>'_Настройки'!$B$5</f>
        <v/>
      </c>
      <c r="AP170" s="2">
        <f>IF(K170&gt;0;K170*AO170;0)</f>
        <v/>
      </c>
      <c r="AQ170" s="2">
        <f>L170-K170-AI170-AE170-IF(AM170&gt;0;AM170;'_Настройки'!$B$9)-AP170-AC170</f>
        <v/>
      </c>
      <c r="AR170" s="3">
        <f>IF(L170&gt;0;AQ170/L170;"")</f>
        <v/>
      </c>
      <c r="AS170" s="3">
        <f>IF(K170&gt;0;AQ170/K170;"")</f>
        <v/>
      </c>
      <c r="AT170" s="2">
        <f>L170-K170-AL170-AE170-IF(AM170&gt;0;AM170;'_Настройки'!$B$9)-AP170-AC170</f>
        <v/>
      </c>
      <c r="AU170" s="3">
        <f>IF(L170&gt;0;AT170/L170;"")</f>
        <v/>
      </c>
      <c r="AV170" s="3">
        <f>IF(K170&gt;0;AT170/K170;"")</f>
        <v/>
      </c>
    </row>
    <row r="171">
      <c r="A171">
        <f>ROW()-1</f>
        <v/>
      </c>
      <c r="K171" s="2">
        <f>IFERROR(INDEX('_Цены_закупки'!$B:$B;MATCH(C171;'_Цены_закупки'!$A:$A;0));"")</f>
        <v/>
      </c>
      <c r="L171" s="2" t="n"/>
      <c r="M171" s="2" t="n"/>
      <c r="N171" s="3">
        <f>IF(AND(M171&gt;0;L171&gt;0);1-L171/M171;"")</f>
        <v/>
      </c>
      <c r="O171" s="2">
        <f>IF(OR(Q171="";K171=0);"";(K171+IF(AM171&gt;0;AM171;'_Настройки'!$B$9)+AP171+AC171+Q171*K171)/(1-AH171-AD171))</f>
        <v/>
      </c>
      <c r="P171" s="2">
        <f>IF(O171="";"";O171-K171-O171*AH171-O171*AD171-IF(AM171&gt;0;AM171;'_Настройки'!$B$9)-AP171-AC171)</f>
        <v/>
      </c>
      <c r="Q171" s="3">
        <f>IF(AND(O171&gt;0;K171&gt;0);P171/K171;"")</f>
        <v/>
      </c>
      <c r="R171" s="2">
        <f>IF(O171="";"";O171-K171-O171*AK171-O171*AD171-IF(AM171&gt;0;AM171;'_Настройки'!$B$9)-AP171-AC171)</f>
        <v/>
      </c>
      <c r="S171" s="3">
        <f>IF(AND(O171&gt;0;K171&gt;0);R171/K171;"")</f>
        <v/>
      </c>
      <c r="T171" s="2" t="n"/>
      <c r="U171" s="3">
        <f>IF(AND(L171&gt;0;T171&gt;0);1-T171/L171;"")</f>
        <v/>
      </c>
      <c r="V171" s="3">
        <f>'_Настройки'!$B$4</f>
        <v/>
      </c>
      <c r="Z171" s="4">
        <f>IF(AND(W171&gt;0;X171&gt;0;Y171&gt;0);W171*X171*Y171/1000;"")</f>
        <v/>
      </c>
      <c r="AB171" s="2">
        <f>('_Настройки'!$B$6+MAX(0;Z171-1)*'_Настройки'!$B$7)*IF(AA171&gt;0;AA171;'_Настройки'!$B$10)</f>
        <v/>
      </c>
      <c r="AC171" s="2">
        <f>AB171*(1+'_Настройки'!$B$8)</f>
        <v/>
      </c>
      <c r="AD171" s="3">
        <f>'_Настройки'!$B$2</f>
        <v/>
      </c>
      <c r="AE171" s="2">
        <f>L171*AD171</f>
        <v/>
      </c>
      <c r="AF171" s="3">
        <f>'_Настройки'!$B$3</f>
        <v/>
      </c>
      <c r="AG171" s="3">
        <f>IFERROR(INDEX('_Комиссия_ВБ'!$B:$B;MATCH(C171;'_Комиссия_ВБ'!$A:$A;0));0,245)</f>
        <v/>
      </c>
      <c r="AH171" s="3">
        <f>AG171+AF171</f>
        <v/>
      </c>
      <c r="AI171" s="2">
        <f>L171*AH171</f>
        <v/>
      </c>
      <c r="AJ171" s="3">
        <f>IFERROR(INDEX('_Комиссия_ВБ'!$C:$C;MATCH(C171;'_Комиссия_ВБ'!$A:$A;0));0,28)</f>
        <v/>
      </c>
      <c r="AK171" s="3">
        <f>AJ171+AF171</f>
        <v/>
      </c>
      <c r="AL171" s="2">
        <f>L171*AK171</f>
        <v/>
      </c>
      <c r="AM171" s="2" t="n"/>
      <c r="AO171" s="3">
        <f>'_Настройки'!$B$5</f>
        <v/>
      </c>
      <c r="AP171" s="2">
        <f>IF(K171&gt;0;K171*AO171;0)</f>
        <v/>
      </c>
      <c r="AQ171" s="2">
        <f>L171-K171-AI171-AE171-IF(AM171&gt;0;AM171;'_Настройки'!$B$9)-AP171-AC171</f>
        <v/>
      </c>
      <c r="AR171" s="3">
        <f>IF(L171&gt;0;AQ171/L171;"")</f>
        <v/>
      </c>
      <c r="AS171" s="3">
        <f>IF(K171&gt;0;AQ171/K171;"")</f>
        <v/>
      </c>
      <c r="AT171" s="2">
        <f>L171-K171-AL171-AE171-IF(AM171&gt;0;AM171;'_Настройки'!$B$9)-AP171-AC171</f>
        <v/>
      </c>
      <c r="AU171" s="3">
        <f>IF(L171&gt;0;AT171/L171;"")</f>
        <v/>
      </c>
      <c r="AV171" s="3">
        <f>IF(K171&gt;0;AT171/K171;"")</f>
        <v/>
      </c>
    </row>
    <row r="172">
      <c r="A172">
        <f>ROW()-1</f>
        <v/>
      </c>
      <c r="K172" s="2">
        <f>IFERROR(INDEX('_Цены_закупки'!$B:$B;MATCH(C172;'_Цены_закупки'!$A:$A;0));"")</f>
        <v/>
      </c>
      <c r="L172" s="2" t="n"/>
      <c r="M172" s="2" t="n"/>
      <c r="N172" s="3">
        <f>IF(AND(M172&gt;0;L172&gt;0);1-L172/M172;"")</f>
        <v/>
      </c>
      <c r="O172" s="2">
        <f>IF(OR(Q172="";K172=0);"";(K172+IF(AM172&gt;0;AM172;'_Настройки'!$B$9)+AP172+AC172+Q172*K172)/(1-AH172-AD172))</f>
        <v/>
      </c>
      <c r="P172" s="2">
        <f>IF(O172="";"";O172-K172-O172*AH172-O172*AD172-IF(AM172&gt;0;AM172;'_Настройки'!$B$9)-AP172-AC172)</f>
        <v/>
      </c>
      <c r="Q172" s="3">
        <f>IF(AND(O172&gt;0;K172&gt;0);P172/K172;"")</f>
        <v/>
      </c>
      <c r="R172" s="2">
        <f>IF(O172="";"";O172-K172-O172*AK172-O172*AD172-IF(AM172&gt;0;AM172;'_Настройки'!$B$9)-AP172-AC172)</f>
        <v/>
      </c>
      <c r="S172" s="3">
        <f>IF(AND(O172&gt;0;K172&gt;0);R172/K172;"")</f>
        <v/>
      </c>
      <c r="T172" s="2" t="n"/>
      <c r="U172" s="3">
        <f>IF(AND(L172&gt;0;T172&gt;0);1-T172/L172;"")</f>
        <v/>
      </c>
      <c r="V172" s="3">
        <f>'_Настройки'!$B$4</f>
        <v/>
      </c>
      <c r="Z172" s="4">
        <f>IF(AND(W172&gt;0;X172&gt;0;Y172&gt;0);W172*X172*Y172/1000;"")</f>
        <v/>
      </c>
      <c r="AB172" s="2">
        <f>('_Настройки'!$B$6+MAX(0;Z172-1)*'_Настройки'!$B$7)*IF(AA172&gt;0;AA172;'_Настройки'!$B$10)</f>
        <v/>
      </c>
      <c r="AC172" s="2">
        <f>AB172*(1+'_Настройки'!$B$8)</f>
        <v/>
      </c>
      <c r="AD172" s="3">
        <f>'_Настройки'!$B$2</f>
        <v/>
      </c>
      <c r="AE172" s="2">
        <f>L172*AD172</f>
        <v/>
      </c>
      <c r="AF172" s="3">
        <f>'_Настройки'!$B$3</f>
        <v/>
      </c>
      <c r="AG172" s="3">
        <f>IFERROR(INDEX('_Комиссия_ВБ'!$B:$B;MATCH(C172;'_Комиссия_ВБ'!$A:$A;0));0,245)</f>
        <v/>
      </c>
      <c r="AH172" s="3">
        <f>AG172+AF172</f>
        <v/>
      </c>
      <c r="AI172" s="2">
        <f>L172*AH172</f>
        <v/>
      </c>
      <c r="AJ172" s="3">
        <f>IFERROR(INDEX('_Комиссия_ВБ'!$C:$C;MATCH(C172;'_Комиссия_ВБ'!$A:$A;0));0,28)</f>
        <v/>
      </c>
      <c r="AK172" s="3">
        <f>AJ172+AF172</f>
        <v/>
      </c>
      <c r="AL172" s="2">
        <f>L172*AK172</f>
        <v/>
      </c>
      <c r="AM172" s="2" t="n"/>
      <c r="AO172" s="3">
        <f>'_Настройки'!$B$5</f>
        <v/>
      </c>
      <c r="AP172" s="2">
        <f>IF(K172&gt;0;K172*AO172;0)</f>
        <v/>
      </c>
      <c r="AQ172" s="2">
        <f>L172-K172-AI172-AE172-IF(AM172&gt;0;AM172;'_Настройки'!$B$9)-AP172-AC172</f>
        <v/>
      </c>
      <c r="AR172" s="3">
        <f>IF(L172&gt;0;AQ172/L172;"")</f>
        <v/>
      </c>
      <c r="AS172" s="3">
        <f>IF(K172&gt;0;AQ172/K172;"")</f>
        <v/>
      </c>
      <c r="AT172" s="2">
        <f>L172-K172-AL172-AE172-IF(AM172&gt;0;AM172;'_Настройки'!$B$9)-AP172-AC172</f>
        <v/>
      </c>
      <c r="AU172" s="3">
        <f>IF(L172&gt;0;AT172/L172;"")</f>
        <v/>
      </c>
      <c r="AV172" s="3">
        <f>IF(K172&gt;0;AT172/K172;"")</f>
        <v/>
      </c>
    </row>
    <row r="173">
      <c r="A173">
        <f>ROW()-1</f>
        <v/>
      </c>
      <c r="K173" s="2">
        <f>IFERROR(INDEX('_Цены_закупки'!$B:$B;MATCH(C173;'_Цены_закупки'!$A:$A;0));"")</f>
        <v/>
      </c>
      <c r="L173" s="2" t="n"/>
      <c r="M173" s="2" t="n"/>
      <c r="N173" s="3">
        <f>IF(AND(M173&gt;0;L173&gt;0);1-L173/M173;"")</f>
        <v/>
      </c>
      <c r="O173" s="2">
        <f>IF(OR(Q173="";K173=0);"";(K173+IF(AM173&gt;0;AM173;'_Настройки'!$B$9)+AP173+AC173+Q173*K173)/(1-AH173-AD173))</f>
        <v/>
      </c>
      <c r="P173" s="2">
        <f>IF(O173="";"";O173-K173-O173*AH173-O173*AD173-IF(AM173&gt;0;AM173;'_Настройки'!$B$9)-AP173-AC173)</f>
        <v/>
      </c>
      <c r="Q173" s="3">
        <f>IF(AND(O173&gt;0;K173&gt;0);P173/K173;"")</f>
        <v/>
      </c>
      <c r="R173" s="2">
        <f>IF(O173="";"";O173-K173-O173*AK173-O173*AD173-IF(AM173&gt;0;AM173;'_Настройки'!$B$9)-AP173-AC173)</f>
        <v/>
      </c>
      <c r="S173" s="3">
        <f>IF(AND(O173&gt;0;K173&gt;0);R173/K173;"")</f>
        <v/>
      </c>
      <c r="T173" s="2" t="n"/>
      <c r="U173" s="3">
        <f>IF(AND(L173&gt;0;T173&gt;0);1-T173/L173;"")</f>
        <v/>
      </c>
      <c r="V173" s="3">
        <f>'_Настройки'!$B$4</f>
        <v/>
      </c>
      <c r="Z173" s="4">
        <f>IF(AND(W173&gt;0;X173&gt;0;Y173&gt;0);W173*X173*Y173/1000;"")</f>
        <v/>
      </c>
      <c r="AB173" s="2">
        <f>('_Настройки'!$B$6+MAX(0;Z173-1)*'_Настройки'!$B$7)*IF(AA173&gt;0;AA173;'_Настройки'!$B$10)</f>
        <v/>
      </c>
      <c r="AC173" s="2">
        <f>AB173*(1+'_Настройки'!$B$8)</f>
        <v/>
      </c>
      <c r="AD173" s="3">
        <f>'_Настройки'!$B$2</f>
        <v/>
      </c>
      <c r="AE173" s="2">
        <f>L173*AD173</f>
        <v/>
      </c>
      <c r="AF173" s="3">
        <f>'_Настройки'!$B$3</f>
        <v/>
      </c>
      <c r="AG173" s="3">
        <f>IFERROR(INDEX('_Комиссия_ВБ'!$B:$B;MATCH(C173;'_Комиссия_ВБ'!$A:$A;0));0,245)</f>
        <v/>
      </c>
      <c r="AH173" s="3">
        <f>AG173+AF173</f>
        <v/>
      </c>
      <c r="AI173" s="2">
        <f>L173*AH173</f>
        <v/>
      </c>
      <c r="AJ173" s="3">
        <f>IFERROR(INDEX('_Комиссия_ВБ'!$C:$C;MATCH(C173;'_Комиссия_ВБ'!$A:$A;0));0,28)</f>
        <v/>
      </c>
      <c r="AK173" s="3">
        <f>AJ173+AF173</f>
        <v/>
      </c>
      <c r="AL173" s="2">
        <f>L173*AK173</f>
        <v/>
      </c>
      <c r="AM173" s="2" t="n"/>
      <c r="AO173" s="3">
        <f>'_Настройки'!$B$5</f>
        <v/>
      </c>
      <c r="AP173" s="2">
        <f>IF(K173&gt;0;K173*AO173;0)</f>
        <v/>
      </c>
      <c r="AQ173" s="2">
        <f>L173-K173-AI173-AE173-IF(AM173&gt;0;AM173;'_Настройки'!$B$9)-AP173-AC173</f>
        <v/>
      </c>
      <c r="AR173" s="3">
        <f>IF(L173&gt;0;AQ173/L173;"")</f>
        <v/>
      </c>
      <c r="AS173" s="3">
        <f>IF(K173&gt;0;AQ173/K173;"")</f>
        <v/>
      </c>
      <c r="AT173" s="2">
        <f>L173-K173-AL173-AE173-IF(AM173&gt;0;AM173;'_Настройки'!$B$9)-AP173-AC173</f>
        <v/>
      </c>
      <c r="AU173" s="3">
        <f>IF(L173&gt;0;AT173/L173;"")</f>
        <v/>
      </c>
      <c r="AV173" s="3">
        <f>IF(K173&gt;0;AT173/K173;"")</f>
        <v/>
      </c>
    </row>
    <row r="174">
      <c r="A174">
        <f>ROW()-1</f>
        <v/>
      </c>
      <c r="K174" s="2">
        <f>IFERROR(INDEX('_Цены_закупки'!$B:$B;MATCH(C174;'_Цены_закупки'!$A:$A;0));"")</f>
        <v/>
      </c>
      <c r="L174" s="2" t="n"/>
      <c r="M174" s="2" t="n"/>
      <c r="N174" s="3">
        <f>IF(AND(M174&gt;0;L174&gt;0);1-L174/M174;"")</f>
        <v/>
      </c>
      <c r="O174" s="2">
        <f>IF(OR(Q174="";K174=0);"";(K174+IF(AM174&gt;0;AM174;'_Настройки'!$B$9)+AP174+AC174+Q174*K174)/(1-AH174-AD174))</f>
        <v/>
      </c>
      <c r="P174" s="2">
        <f>IF(O174="";"";O174-K174-O174*AH174-O174*AD174-IF(AM174&gt;0;AM174;'_Настройки'!$B$9)-AP174-AC174)</f>
        <v/>
      </c>
      <c r="Q174" s="3">
        <f>IF(AND(O174&gt;0;K174&gt;0);P174/K174;"")</f>
        <v/>
      </c>
      <c r="R174" s="2">
        <f>IF(O174="";"";O174-K174-O174*AK174-O174*AD174-IF(AM174&gt;0;AM174;'_Настройки'!$B$9)-AP174-AC174)</f>
        <v/>
      </c>
      <c r="S174" s="3">
        <f>IF(AND(O174&gt;0;K174&gt;0);R174/K174;"")</f>
        <v/>
      </c>
      <c r="T174" s="2" t="n"/>
      <c r="U174" s="3">
        <f>IF(AND(L174&gt;0;T174&gt;0);1-T174/L174;"")</f>
        <v/>
      </c>
      <c r="V174" s="3">
        <f>'_Настройки'!$B$4</f>
        <v/>
      </c>
      <c r="Z174" s="4">
        <f>IF(AND(W174&gt;0;X174&gt;0;Y174&gt;0);W174*X174*Y174/1000;"")</f>
        <v/>
      </c>
      <c r="AB174" s="2">
        <f>('_Настройки'!$B$6+MAX(0;Z174-1)*'_Настройки'!$B$7)*IF(AA174&gt;0;AA174;'_Настройки'!$B$10)</f>
        <v/>
      </c>
      <c r="AC174" s="2">
        <f>AB174*(1+'_Настройки'!$B$8)</f>
        <v/>
      </c>
      <c r="AD174" s="3">
        <f>'_Настройки'!$B$2</f>
        <v/>
      </c>
      <c r="AE174" s="2">
        <f>L174*AD174</f>
        <v/>
      </c>
      <c r="AF174" s="3">
        <f>'_Настройки'!$B$3</f>
        <v/>
      </c>
      <c r="AG174" s="3">
        <f>IFERROR(INDEX('_Комиссия_ВБ'!$B:$B;MATCH(C174;'_Комиссия_ВБ'!$A:$A;0));0,245)</f>
        <v/>
      </c>
      <c r="AH174" s="3">
        <f>AG174+AF174</f>
        <v/>
      </c>
      <c r="AI174" s="2">
        <f>L174*AH174</f>
        <v/>
      </c>
      <c r="AJ174" s="3">
        <f>IFERROR(INDEX('_Комиссия_ВБ'!$C:$C;MATCH(C174;'_Комиссия_ВБ'!$A:$A;0));0,28)</f>
        <v/>
      </c>
      <c r="AK174" s="3">
        <f>AJ174+AF174</f>
        <v/>
      </c>
      <c r="AL174" s="2">
        <f>L174*AK174</f>
        <v/>
      </c>
      <c r="AM174" s="2" t="n"/>
      <c r="AO174" s="3">
        <f>'_Настройки'!$B$5</f>
        <v/>
      </c>
      <c r="AP174" s="2">
        <f>IF(K174&gt;0;K174*AO174;0)</f>
        <v/>
      </c>
      <c r="AQ174" s="2">
        <f>L174-K174-AI174-AE174-IF(AM174&gt;0;AM174;'_Настройки'!$B$9)-AP174-AC174</f>
        <v/>
      </c>
      <c r="AR174" s="3">
        <f>IF(L174&gt;0;AQ174/L174;"")</f>
        <v/>
      </c>
      <c r="AS174" s="3">
        <f>IF(K174&gt;0;AQ174/K174;"")</f>
        <v/>
      </c>
      <c r="AT174" s="2">
        <f>L174-K174-AL174-AE174-IF(AM174&gt;0;AM174;'_Настройки'!$B$9)-AP174-AC174</f>
        <v/>
      </c>
      <c r="AU174" s="3">
        <f>IF(L174&gt;0;AT174/L174;"")</f>
        <v/>
      </c>
      <c r="AV174" s="3">
        <f>IF(K174&gt;0;AT174/K174;"")</f>
        <v/>
      </c>
    </row>
    <row r="175">
      <c r="A175">
        <f>ROW()-1</f>
        <v/>
      </c>
      <c r="K175" s="2">
        <f>IFERROR(INDEX('_Цены_закупки'!$B:$B;MATCH(C175;'_Цены_закупки'!$A:$A;0));"")</f>
        <v/>
      </c>
      <c r="L175" s="2" t="n"/>
      <c r="M175" s="2" t="n"/>
      <c r="N175" s="3">
        <f>IF(AND(M175&gt;0;L175&gt;0);1-L175/M175;"")</f>
        <v/>
      </c>
      <c r="O175" s="2">
        <f>IF(OR(Q175="";K175=0);"";(K175+IF(AM175&gt;0;AM175;'_Настройки'!$B$9)+AP175+AC175+Q175*K175)/(1-AH175-AD175))</f>
        <v/>
      </c>
      <c r="P175" s="2">
        <f>IF(O175="";"";O175-K175-O175*AH175-O175*AD175-IF(AM175&gt;0;AM175;'_Настройки'!$B$9)-AP175-AC175)</f>
        <v/>
      </c>
      <c r="Q175" s="3">
        <f>IF(AND(O175&gt;0;K175&gt;0);P175/K175;"")</f>
        <v/>
      </c>
      <c r="R175" s="2">
        <f>IF(O175="";"";O175-K175-O175*AK175-O175*AD175-IF(AM175&gt;0;AM175;'_Настройки'!$B$9)-AP175-AC175)</f>
        <v/>
      </c>
      <c r="S175" s="3">
        <f>IF(AND(O175&gt;0;K175&gt;0);R175/K175;"")</f>
        <v/>
      </c>
      <c r="T175" s="2" t="n"/>
      <c r="U175" s="3">
        <f>IF(AND(L175&gt;0;T175&gt;0);1-T175/L175;"")</f>
        <v/>
      </c>
      <c r="V175" s="3">
        <f>'_Настройки'!$B$4</f>
        <v/>
      </c>
      <c r="Z175" s="4">
        <f>IF(AND(W175&gt;0;X175&gt;0;Y175&gt;0);W175*X175*Y175/1000;"")</f>
        <v/>
      </c>
      <c r="AB175" s="2">
        <f>('_Настройки'!$B$6+MAX(0;Z175-1)*'_Настройки'!$B$7)*IF(AA175&gt;0;AA175;'_Настройки'!$B$10)</f>
        <v/>
      </c>
      <c r="AC175" s="2">
        <f>AB175*(1+'_Настройки'!$B$8)</f>
        <v/>
      </c>
      <c r="AD175" s="3">
        <f>'_Настройки'!$B$2</f>
        <v/>
      </c>
      <c r="AE175" s="2">
        <f>L175*AD175</f>
        <v/>
      </c>
      <c r="AF175" s="3">
        <f>'_Настройки'!$B$3</f>
        <v/>
      </c>
      <c r="AG175" s="3">
        <f>IFERROR(INDEX('_Комиссия_ВБ'!$B:$B;MATCH(C175;'_Комиссия_ВБ'!$A:$A;0));0,245)</f>
        <v/>
      </c>
      <c r="AH175" s="3">
        <f>AG175+AF175</f>
        <v/>
      </c>
      <c r="AI175" s="2">
        <f>L175*AH175</f>
        <v/>
      </c>
      <c r="AJ175" s="3">
        <f>IFERROR(INDEX('_Комиссия_ВБ'!$C:$C;MATCH(C175;'_Комиссия_ВБ'!$A:$A;0));0,28)</f>
        <v/>
      </c>
      <c r="AK175" s="3">
        <f>AJ175+AF175</f>
        <v/>
      </c>
      <c r="AL175" s="2">
        <f>L175*AK175</f>
        <v/>
      </c>
      <c r="AM175" s="2" t="n"/>
      <c r="AO175" s="3">
        <f>'_Настройки'!$B$5</f>
        <v/>
      </c>
      <c r="AP175" s="2">
        <f>IF(K175&gt;0;K175*AO175;0)</f>
        <v/>
      </c>
      <c r="AQ175" s="2">
        <f>L175-K175-AI175-AE175-IF(AM175&gt;0;AM175;'_Настройки'!$B$9)-AP175-AC175</f>
        <v/>
      </c>
      <c r="AR175" s="3">
        <f>IF(L175&gt;0;AQ175/L175;"")</f>
        <v/>
      </c>
      <c r="AS175" s="3">
        <f>IF(K175&gt;0;AQ175/K175;"")</f>
        <v/>
      </c>
      <c r="AT175" s="2">
        <f>L175-K175-AL175-AE175-IF(AM175&gt;0;AM175;'_Настройки'!$B$9)-AP175-AC175</f>
        <v/>
      </c>
      <c r="AU175" s="3">
        <f>IF(L175&gt;0;AT175/L175;"")</f>
        <v/>
      </c>
      <c r="AV175" s="3">
        <f>IF(K175&gt;0;AT175/K175;"")</f>
        <v/>
      </c>
    </row>
    <row r="176">
      <c r="A176">
        <f>ROW()-1</f>
        <v/>
      </c>
      <c r="K176" s="2">
        <f>IFERROR(INDEX('_Цены_закупки'!$B:$B;MATCH(C176;'_Цены_закупки'!$A:$A;0));"")</f>
        <v/>
      </c>
      <c r="L176" s="2" t="n"/>
      <c r="M176" s="2" t="n"/>
      <c r="N176" s="3">
        <f>IF(AND(M176&gt;0;L176&gt;0);1-L176/M176;"")</f>
        <v/>
      </c>
      <c r="O176" s="2">
        <f>IF(OR(Q176="";K176=0);"";(K176+IF(AM176&gt;0;AM176;'_Настройки'!$B$9)+AP176+AC176+Q176*K176)/(1-AH176-AD176))</f>
        <v/>
      </c>
      <c r="P176" s="2">
        <f>IF(O176="";"";O176-K176-O176*AH176-O176*AD176-IF(AM176&gt;0;AM176;'_Настройки'!$B$9)-AP176-AC176)</f>
        <v/>
      </c>
      <c r="Q176" s="3">
        <f>IF(AND(O176&gt;0;K176&gt;0);P176/K176;"")</f>
        <v/>
      </c>
      <c r="R176" s="2">
        <f>IF(O176="";"";O176-K176-O176*AK176-O176*AD176-IF(AM176&gt;0;AM176;'_Настройки'!$B$9)-AP176-AC176)</f>
        <v/>
      </c>
      <c r="S176" s="3">
        <f>IF(AND(O176&gt;0;K176&gt;0);R176/K176;"")</f>
        <v/>
      </c>
      <c r="T176" s="2" t="n"/>
      <c r="U176" s="3">
        <f>IF(AND(L176&gt;0;T176&gt;0);1-T176/L176;"")</f>
        <v/>
      </c>
      <c r="V176" s="3">
        <f>'_Настройки'!$B$4</f>
        <v/>
      </c>
      <c r="Z176" s="4">
        <f>IF(AND(W176&gt;0;X176&gt;0;Y176&gt;0);W176*X176*Y176/1000;"")</f>
        <v/>
      </c>
      <c r="AB176" s="2">
        <f>('_Настройки'!$B$6+MAX(0;Z176-1)*'_Настройки'!$B$7)*IF(AA176&gt;0;AA176;'_Настройки'!$B$10)</f>
        <v/>
      </c>
      <c r="AC176" s="2">
        <f>AB176*(1+'_Настройки'!$B$8)</f>
        <v/>
      </c>
      <c r="AD176" s="3">
        <f>'_Настройки'!$B$2</f>
        <v/>
      </c>
      <c r="AE176" s="2">
        <f>L176*AD176</f>
        <v/>
      </c>
      <c r="AF176" s="3">
        <f>'_Настройки'!$B$3</f>
        <v/>
      </c>
      <c r="AG176" s="3">
        <f>IFERROR(INDEX('_Комиссия_ВБ'!$B:$B;MATCH(C176;'_Комиссия_ВБ'!$A:$A;0));0,245)</f>
        <v/>
      </c>
      <c r="AH176" s="3">
        <f>AG176+AF176</f>
        <v/>
      </c>
      <c r="AI176" s="2">
        <f>L176*AH176</f>
        <v/>
      </c>
      <c r="AJ176" s="3">
        <f>IFERROR(INDEX('_Комиссия_ВБ'!$C:$C;MATCH(C176;'_Комиссия_ВБ'!$A:$A;0));0,28)</f>
        <v/>
      </c>
      <c r="AK176" s="3">
        <f>AJ176+AF176</f>
        <v/>
      </c>
      <c r="AL176" s="2">
        <f>L176*AK176</f>
        <v/>
      </c>
      <c r="AM176" s="2" t="n"/>
      <c r="AO176" s="3">
        <f>'_Настройки'!$B$5</f>
        <v/>
      </c>
      <c r="AP176" s="2">
        <f>IF(K176&gt;0;K176*AO176;0)</f>
        <v/>
      </c>
      <c r="AQ176" s="2">
        <f>L176-K176-AI176-AE176-IF(AM176&gt;0;AM176;'_Настройки'!$B$9)-AP176-AC176</f>
        <v/>
      </c>
      <c r="AR176" s="3">
        <f>IF(L176&gt;0;AQ176/L176;"")</f>
        <v/>
      </c>
      <c r="AS176" s="3">
        <f>IF(K176&gt;0;AQ176/K176;"")</f>
        <v/>
      </c>
      <c r="AT176" s="2">
        <f>L176-K176-AL176-AE176-IF(AM176&gt;0;AM176;'_Настройки'!$B$9)-AP176-AC176</f>
        <v/>
      </c>
      <c r="AU176" s="3">
        <f>IF(L176&gt;0;AT176/L176;"")</f>
        <v/>
      </c>
      <c r="AV176" s="3">
        <f>IF(K176&gt;0;AT176/K176;"")</f>
        <v/>
      </c>
    </row>
    <row r="177">
      <c r="A177">
        <f>ROW()-1</f>
        <v/>
      </c>
      <c r="K177" s="2">
        <f>IFERROR(INDEX('_Цены_закупки'!$B:$B;MATCH(C177;'_Цены_закупки'!$A:$A;0));"")</f>
        <v/>
      </c>
      <c r="L177" s="2" t="n"/>
      <c r="M177" s="2" t="n"/>
      <c r="N177" s="3">
        <f>IF(AND(M177&gt;0;L177&gt;0);1-L177/M177;"")</f>
        <v/>
      </c>
      <c r="O177" s="2">
        <f>IF(OR(Q177="";K177=0);"";(K177+IF(AM177&gt;0;AM177;'_Настройки'!$B$9)+AP177+AC177+Q177*K177)/(1-AH177-AD177))</f>
        <v/>
      </c>
      <c r="P177" s="2">
        <f>IF(O177="";"";O177-K177-O177*AH177-O177*AD177-IF(AM177&gt;0;AM177;'_Настройки'!$B$9)-AP177-AC177)</f>
        <v/>
      </c>
      <c r="Q177" s="3">
        <f>IF(AND(O177&gt;0;K177&gt;0);P177/K177;"")</f>
        <v/>
      </c>
      <c r="R177" s="2">
        <f>IF(O177="";"";O177-K177-O177*AK177-O177*AD177-IF(AM177&gt;0;AM177;'_Настройки'!$B$9)-AP177-AC177)</f>
        <v/>
      </c>
      <c r="S177" s="3">
        <f>IF(AND(O177&gt;0;K177&gt;0);R177/K177;"")</f>
        <v/>
      </c>
      <c r="T177" s="2" t="n"/>
      <c r="U177" s="3">
        <f>IF(AND(L177&gt;0;T177&gt;0);1-T177/L177;"")</f>
        <v/>
      </c>
      <c r="V177" s="3">
        <f>'_Настройки'!$B$4</f>
        <v/>
      </c>
      <c r="Z177" s="4">
        <f>IF(AND(W177&gt;0;X177&gt;0;Y177&gt;0);W177*X177*Y177/1000;"")</f>
        <v/>
      </c>
      <c r="AB177" s="2">
        <f>('_Настройки'!$B$6+MAX(0;Z177-1)*'_Настройки'!$B$7)*IF(AA177&gt;0;AA177;'_Настройки'!$B$10)</f>
        <v/>
      </c>
      <c r="AC177" s="2">
        <f>AB177*(1+'_Настройки'!$B$8)</f>
        <v/>
      </c>
      <c r="AD177" s="3">
        <f>'_Настройки'!$B$2</f>
        <v/>
      </c>
      <c r="AE177" s="2">
        <f>L177*AD177</f>
        <v/>
      </c>
      <c r="AF177" s="3">
        <f>'_Настройки'!$B$3</f>
        <v/>
      </c>
      <c r="AG177" s="3">
        <f>IFERROR(INDEX('_Комиссия_ВБ'!$B:$B;MATCH(C177;'_Комиссия_ВБ'!$A:$A;0));0,245)</f>
        <v/>
      </c>
      <c r="AH177" s="3">
        <f>AG177+AF177</f>
        <v/>
      </c>
      <c r="AI177" s="2">
        <f>L177*AH177</f>
        <v/>
      </c>
      <c r="AJ177" s="3">
        <f>IFERROR(INDEX('_Комиссия_ВБ'!$C:$C;MATCH(C177;'_Комиссия_ВБ'!$A:$A;0));0,28)</f>
        <v/>
      </c>
      <c r="AK177" s="3">
        <f>AJ177+AF177</f>
        <v/>
      </c>
      <c r="AL177" s="2">
        <f>L177*AK177</f>
        <v/>
      </c>
      <c r="AM177" s="2" t="n"/>
      <c r="AO177" s="3">
        <f>'_Настройки'!$B$5</f>
        <v/>
      </c>
      <c r="AP177" s="2">
        <f>IF(K177&gt;0;K177*AO177;0)</f>
        <v/>
      </c>
      <c r="AQ177" s="2">
        <f>L177-K177-AI177-AE177-IF(AM177&gt;0;AM177;'_Настройки'!$B$9)-AP177-AC177</f>
        <v/>
      </c>
      <c r="AR177" s="3">
        <f>IF(L177&gt;0;AQ177/L177;"")</f>
        <v/>
      </c>
      <c r="AS177" s="3">
        <f>IF(K177&gt;0;AQ177/K177;"")</f>
        <v/>
      </c>
      <c r="AT177" s="2">
        <f>L177-K177-AL177-AE177-IF(AM177&gt;0;AM177;'_Настройки'!$B$9)-AP177-AC177</f>
        <v/>
      </c>
      <c r="AU177" s="3">
        <f>IF(L177&gt;0;AT177/L177;"")</f>
        <v/>
      </c>
      <c r="AV177" s="3">
        <f>IF(K177&gt;0;AT177/K177;"")</f>
        <v/>
      </c>
    </row>
    <row r="178">
      <c r="A178">
        <f>ROW()-1</f>
        <v/>
      </c>
      <c r="K178" s="2">
        <f>IFERROR(INDEX('_Цены_закупки'!$B:$B;MATCH(C178;'_Цены_закупки'!$A:$A;0));"")</f>
        <v/>
      </c>
      <c r="L178" s="2" t="n"/>
      <c r="M178" s="2" t="n"/>
      <c r="N178" s="3">
        <f>IF(AND(M178&gt;0;L178&gt;0);1-L178/M178;"")</f>
        <v/>
      </c>
      <c r="O178" s="2">
        <f>IF(OR(Q178="";K178=0);"";(K178+IF(AM178&gt;0;AM178;'_Настройки'!$B$9)+AP178+AC178+Q178*K178)/(1-AH178-AD178))</f>
        <v/>
      </c>
      <c r="P178" s="2">
        <f>IF(O178="";"";O178-K178-O178*AH178-O178*AD178-IF(AM178&gt;0;AM178;'_Настройки'!$B$9)-AP178-AC178)</f>
        <v/>
      </c>
      <c r="Q178" s="3">
        <f>IF(AND(O178&gt;0;K178&gt;0);P178/K178;"")</f>
        <v/>
      </c>
      <c r="R178" s="2">
        <f>IF(O178="";"";O178-K178-O178*AK178-O178*AD178-IF(AM178&gt;0;AM178;'_Настройки'!$B$9)-AP178-AC178)</f>
        <v/>
      </c>
      <c r="S178" s="3">
        <f>IF(AND(O178&gt;0;K178&gt;0);R178/K178;"")</f>
        <v/>
      </c>
      <c r="T178" s="2" t="n"/>
      <c r="U178" s="3">
        <f>IF(AND(L178&gt;0;T178&gt;0);1-T178/L178;"")</f>
        <v/>
      </c>
      <c r="V178" s="3">
        <f>'_Настройки'!$B$4</f>
        <v/>
      </c>
      <c r="Z178" s="4">
        <f>IF(AND(W178&gt;0;X178&gt;0;Y178&gt;0);W178*X178*Y178/1000;"")</f>
        <v/>
      </c>
      <c r="AB178" s="2">
        <f>('_Настройки'!$B$6+MAX(0;Z178-1)*'_Настройки'!$B$7)*IF(AA178&gt;0;AA178;'_Настройки'!$B$10)</f>
        <v/>
      </c>
      <c r="AC178" s="2">
        <f>AB178*(1+'_Настройки'!$B$8)</f>
        <v/>
      </c>
      <c r="AD178" s="3">
        <f>'_Настройки'!$B$2</f>
        <v/>
      </c>
      <c r="AE178" s="2">
        <f>L178*AD178</f>
        <v/>
      </c>
      <c r="AF178" s="3">
        <f>'_Настройки'!$B$3</f>
        <v/>
      </c>
      <c r="AG178" s="3">
        <f>IFERROR(INDEX('_Комиссия_ВБ'!$B:$B;MATCH(C178;'_Комиссия_ВБ'!$A:$A;0));0,245)</f>
        <v/>
      </c>
      <c r="AH178" s="3">
        <f>AG178+AF178</f>
        <v/>
      </c>
      <c r="AI178" s="2">
        <f>L178*AH178</f>
        <v/>
      </c>
      <c r="AJ178" s="3">
        <f>IFERROR(INDEX('_Комиссия_ВБ'!$C:$C;MATCH(C178;'_Комиссия_ВБ'!$A:$A;0));0,28)</f>
        <v/>
      </c>
      <c r="AK178" s="3">
        <f>AJ178+AF178</f>
        <v/>
      </c>
      <c r="AL178" s="2">
        <f>L178*AK178</f>
        <v/>
      </c>
      <c r="AM178" s="2" t="n"/>
      <c r="AO178" s="3">
        <f>'_Настройки'!$B$5</f>
        <v/>
      </c>
      <c r="AP178" s="2">
        <f>IF(K178&gt;0;K178*AO178;0)</f>
        <v/>
      </c>
      <c r="AQ178" s="2">
        <f>L178-K178-AI178-AE178-IF(AM178&gt;0;AM178;'_Настройки'!$B$9)-AP178-AC178</f>
        <v/>
      </c>
      <c r="AR178" s="3">
        <f>IF(L178&gt;0;AQ178/L178;"")</f>
        <v/>
      </c>
      <c r="AS178" s="3">
        <f>IF(K178&gt;0;AQ178/K178;"")</f>
        <v/>
      </c>
      <c r="AT178" s="2">
        <f>L178-K178-AL178-AE178-IF(AM178&gt;0;AM178;'_Настройки'!$B$9)-AP178-AC178</f>
        <v/>
      </c>
      <c r="AU178" s="3">
        <f>IF(L178&gt;0;AT178/L178;"")</f>
        <v/>
      </c>
      <c r="AV178" s="3">
        <f>IF(K178&gt;0;AT178/K178;"")</f>
        <v/>
      </c>
    </row>
    <row r="179">
      <c r="A179">
        <f>ROW()-1</f>
        <v/>
      </c>
      <c r="K179" s="2">
        <f>IFERROR(INDEX('_Цены_закупки'!$B:$B;MATCH(C179;'_Цены_закупки'!$A:$A;0));"")</f>
        <v/>
      </c>
      <c r="L179" s="2" t="n"/>
      <c r="M179" s="2" t="n"/>
      <c r="N179" s="3">
        <f>IF(AND(M179&gt;0;L179&gt;0);1-L179/M179;"")</f>
        <v/>
      </c>
      <c r="O179" s="2">
        <f>IF(OR(Q179="";K179=0);"";(K179+IF(AM179&gt;0;AM179;'_Настройки'!$B$9)+AP179+AC179+Q179*K179)/(1-AH179-AD179))</f>
        <v/>
      </c>
      <c r="P179" s="2">
        <f>IF(O179="";"";O179-K179-O179*AH179-O179*AD179-IF(AM179&gt;0;AM179;'_Настройки'!$B$9)-AP179-AC179)</f>
        <v/>
      </c>
      <c r="Q179" s="3">
        <f>IF(AND(O179&gt;0;K179&gt;0);P179/K179;"")</f>
        <v/>
      </c>
      <c r="R179" s="2">
        <f>IF(O179="";"";O179-K179-O179*AK179-O179*AD179-IF(AM179&gt;0;AM179;'_Настройки'!$B$9)-AP179-AC179)</f>
        <v/>
      </c>
      <c r="S179" s="3">
        <f>IF(AND(O179&gt;0;K179&gt;0);R179/K179;"")</f>
        <v/>
      </c>
      <c r="T179" s="2" t="n"/>
      <c r="U179" s="3">
        <f>IF(AND(L179&gt;0;T179&gt;0);1-T179/L179;"")</f>
        <v/>
      </c>
      <c r="V179" s="3">
        <f>'_Настройки'!$B$4</f>
        <v/>
      </c>
      <c r="Z179" s="4">
        <f>IF(AND(W179&gt;0;X179&gt;0;Y179&gt;0);W179*X179*Y179/1000;"")</f>
        <v/>
      </c>
      <c r="AB179" s="2">
        <f>('_Настройки'!$B$6+MAX(0;Z179-1)*'_Настройки'!$B$7)*IF(AA179&gt;0;AA179;'_Настройки'!$B$10)</f>
        <v/>
      </c>
      <c r="AC179" s="2">
        <f>AB179*(1+'_Настройки'!$B$8)</f>
        <v/>
      </c>
      <c r="AD179" s="3">
        <f>'_Настройки'!$B$2</f>
        <v/>
      </c>
      <c r="AE179" s="2">
        <f>L179*AD179</f>
        <v/>
      </c>
      <c r="AF179" s="3">
        <f>'_Настройки'!$B$3</f>
        <v/>
      </c>
      <c r="AG179" s="3">
        <f>IFERROR(INDEX('_Комиссия_ВБ'!$B:$B;MATCH(C179;'_Комиссия_ВБ'!$A:$A;0));0,245)</f>
        <v/>
      </c>
      <c r="AH179" s="3">
        <f>AG179+AF179</f>
        <v/>
      </c>
      <c r="AI179" s="2">
        <f>L179*AH179</f>
        <v/>
      </c>
      <c r="AJ179" s="3">
        <f>IFERROR(INDEX('_Комиссия_ВБ'!$C:$C;MATCH(C179;'_Комиссия_ВБ'!$A:$A;0));0,28)</f>
        <v/>
      </c>
      <c r="AK179" s="3">
        <f>AJ179+AF179</f>
        <v/>
      </c>
      <c r="AL179" s="2">
        <f>L179*AK179</f>
        <v/>
      </c>
      <c r="AM179" s="2" t="n"/>
      <c r="AO179" s="3">
        <f>'_Настройки'!$B$5</f>
        <v/>
      </c>
      <c r="AP179" s="2">
        <f>IF(K179&gt;0;K179*AO179;0)</f>
        <v/>
      </c>
      <c r="AQ179" s="2">
        <f>L179-K179-AI179-AE179-IF(AM179&gt;0;AM179;'_Настройки'!$B$9)-AP179-AC179</f>
        <v/>
      </c>
      <c r="AR179" s="3">
        <f>IF(L179&gt;0;AQ179/L179;"")</f>
        <v/>
      </c>
      <c r="AS179" s="3">
        <f>IF(K179&gt;0;AQ179/K179;"")</f>
        <v/>
      </c>
      <c r="AT179" s="2">
        <f>L179-K179-AL179-AE179-IF(AM179&gt;0;AM179;'_Настройки'!$B$9)-AP179-AC179</f>
        <v/>
      </c>
      <c r="AU179" s="3">
        <f>IF(L179&gt;0;AT179/L179;"")</f>
        <v/>
      </c>
      <c r="AV179" s="3">
        <f>IF(K179&gt;0;AT179/K179;"")</f>
        <v/>
      </c>
    </row>
    <row r="180">
      <c r="A180">
        <f>ROW()-1</f>
        <v/>
      </c>
      <c r="K180" s="2">
        <f>IFERROR(INDEX('_Цены_закупки'!$B:$B;MATCH(C180;'_Цены_закупки'!$A:$A;0));"")</f>
        <v/>
      </c>
      <c r="L180" s="2" t="n"/>
      <c r="M180" s="2" t="n"/>
      <c r="N180" s="3">
        <f>IF(AND(M180&gt;0;L180&gt;0);1-L180/M180;"")</f>
        <v/>
      </c>
      <c r="O180" s="2">
        <f>IF(OR(Q180="";K180=0);"";(K180+IF(AM180&gt;0;AM180;'_Настройки'!$B$9)+AP180+AC180+Q180*K180)/(1-AH180-AD180))</f>
        <v/>
      </c>
      <c r="P180" s="2">
        <f>IF(O180="";"";O180-K180-O180*AH180-O180*AD180-IF(AM180&gt;0;AM180;'_Настройки'!$B$9)-AP180-AC180)</f>
        <v/>
      </c>
      <c r="Q180" s="3">
        <f>IF(AND(O180&gt;0;K180&gt;0);P180/K180;"")</f>
        <v/>
      </c>
      <c r="R180" s="2">
        <f>IF(O180="";"";O180-K180-O180*AK180-O180*AD180-IF(AM180&gt;0;AM180;'_Настройки'!$B$9)-AP180-AC180)</f>
        <v/>
      </c>
      <c r="S180" s="3">
        <f>IF(AND(O180&gt;0;K180&gt;0);R180/K180;"")</f>
        <v/>
      </c>
      <c r="T180" s="2" t="n"/>
      <c r="U180" s="3">
        <f>IF(AND(L180&gt;0;T180&gt;0);1-T180/L180;"")</f>
        <v/>
      </c>
      <c r="V180" s="3">
        <f>'_Настройки'!$B$4</f>
        <v/>
      </c>
      <c r="Z180" s="4">
        <f>IF(AND(W180&gt;0;X180&gt;0;Y180&gt;0);W180*X180*Y180/1000;"")</f>
        <v/>
      </c>
      <c r="AB180" s="2">
        <f>('_Настройки'!$B$6+MAX(0;Z180-1)*'_Настройки'!$B$7)*IF(AA180&gt;0;AA180;'_Настройки'!$B$10)</f>
        <v/>
      </c>
      <c r="AC180" s="2">
        <f>AB180*(1+'_Настройки'!$B$8)</f>
        <v/>
      </c>
      <c r="AD180" s="3">
        <f>'_Настройки'!$B$2</f>
        <v/>
      </c>
      <c r="AE180" s="2">
        <f>L180*AD180</f>
        <v/>
      </c>
      <c r="AF180" s="3">
        <f>'_Настройки'!$B$3</f>
        <v/>
      </c>
      <c r="AG180" s="3">
        <f>IFERROR(INDEX('_Комиссия_ВБ'!$B:$B;MATCH(C180;'_Комиссия_ВБ'!$A:$A;0));0,245)</f>
        <v/>
      </c>
      <c r="AH180" s="3">
        <f>AG180+AF180</f>
        <v/>
      </c>
      <c r="AI180" s="2">
        <f>L180*AH180</f>
        <v/>
      </c>
      <c r="AJ180" s="3">
        <f>IFERROR(INDEX('_Комиссия_ВБ'!$C:$C;MATCH(C180;'_Комиссия_ВБ'!$A:$A;0));0,28)</f>
        <v/>
      </c>
      <c r="AK180" s="3">
        <f>AJ180+AF180</f>
        <v/>
      </c>
      <c r="AL180" s="2">
        <f>L180*AK180</f>
        <v/>
      </c>
      <c r="AM180" s="2" t="n"/>
      <c r="AO180" s="3">
        <f>'_Настройки'!$B$5</f>
        <v/>
      </c>
      <c r="AP180" s="2">
        <f>IF(K180&gt;0;K180*AO180;0)</f>
        <v/>
      </c>
      <c r="AQ180" s="2">
        <f>L180-K180-AI180-AE180-IF(AM180&gt;0;AM180;'_Настройки'!$B$9)-AP180-AC180</f>
        <v/>
      </c>
      <c r="AR180" s="3">
        <f>IF(L180&gt;0;AQ180/L180;"")</f>
        <v/>
      </c>
      <c r="AS180" s="3">
        <f>IF(K180&gt;0;AQ180/K180;"")</f>
        <v/>
      </c>
      <c r="AT180" s="2">
        <f>L180-K180-AL180-AE180-IF(AM180&gt;0;AM180;'_Настройки'!$B$9)-AP180-AC180</f>
        <v/>
      </c>
      <c r="AU180" s="3">
        <f>IF(L180&gt;0;AT180/L180;"")</f>
        <v/>
      </c>
      <c r="AV180" s="3">
        <f>IF(K180&gt;0;AT180/K180;"")</f>
        <v/>
      </c>
    </row>
    <row r="181">
      <c r="A181">
        <f>ROW()-1</f>
        <v/>
      </c>
      <c r="K181" s="2">
        <f>IFERROR(INDEX('_Цены_закупки'!$B:$B;MATCH(C181;'_Цены_закупки'!$A:$A;0));"")</f>
        <v/>
      </c>
      <c r="L181" s="2" t="n"/>
      <c r="M181" s="2" t="n"/>
      <c r="N181" s="3">
        <f>IF(AND(M181&gt;0;L181&gt;0);1-L181/M181;"")</f>
        <v/>
      </c>
      <c r="O181" s="2">
        <f>IF(OR(Q181="";K181=0);"";(K181+IF(AM181&gt;0;AM181;'_Настройки'!$B$9)+AP181+AC181+Q181*K181)/(1-AH181-AD181))</f>
        <v/>
      </c>
      <c r="P181" s="2">
        <f>IF(O181="";"";O181-K181-O181*AH181-O181*AD181-IF(AM181&gt;0;AM181;'_Настройки'!$B$9)-AP181-AC181)</f>
        <v/>
      </c>
      <c r="Q181" s="3">
        <f>IF(AND(O181&gt;0;K181&gt;0);P181/K181;"")</f>
        <v/>
      </c>
      <c r="R181" s="2">
        <f>IF(O181="";"";O181-K181-O181*AK181-O181*AD181-IF(AM181&gt;0;AM181;'_Настройки'!$B$9)-AP181-AC181)</f>
        <v/>
      </c>
      <c r="S181" s="3">
        <f>IF(AND(O181&gt;0;K181&gt;0);R181/K181;"")</f>
        <v/>
      </c>
      <c r="T181" s="2" t="n"/>
      <c r="U181" s="3">
        <f>IF(AND(L181&gt;0;T181&gt;0);1-T181/L181;"")</f>
        <v/>
      </c>
      <c r="V181" s="3">
        <f>'_Настройки'!$B$4</f>
        <v/>
      </c>
      <c r="Z181" s="4">
        <f>IF(AND(W181&gt;0;X181&gt;0;Y181&gt;0);W181*X181*Y181/1000;"")</f>
        <v/>
      </c>
      <c r="AB181" s="2">
        <f>('_Настройки'!$B$6+MAX(0;Z181-1)*'_Настройки'!$B$7)*IF(AA181&gt;0;AA181;'_Настройки'!$B$10)</f>
        <v/>
      </c>
      <c r="AC181" s="2">
        <f>AB181*(1+'_Настройки'!$B$8)</f>
        <v/>
      </c>
      <c r="AD181" s="3">
        <f>'_Настройки'!$B$2</f>
        <v/>
      </c>
      <c r="AE181" s="2">
        <f>L181*AD181</f>
        <v/>
      </c>
      <c r="AF181" s="3">
        <f>'_Настройки'!$B$3</f>
        <v/>
      </c>
      <c r="AG181" s="3">
        <f>IFERROR(INDEX('_Комиссия_ВБ'!$B:$B;MATCH(C181;'_Комиссия_ВБ'!$A:$A;0));0,245)</f>
        <v/>
      </c>
      <c r="AH181" s="3">
        <f>AG181+AF181</f>
        <v/>
      </c>
      <c r="AI181" s="2">
        <f>L181*AH181</f>
        <v/>
      </c>
      <c r="AJ181" s="3">
        <f>IFERROR(INDEX('_Комиссия_ВБ'!$C:$C;MATCH(C181;'_Комиссия_ВБ'!$A:$A;0));0,28)</f>
        <v/>
      </c>
      <c r="AK181" s="3">
        <f>AJ181+AF181</f>
        <v/>
      </c>
      <c r="AL181" s="2">
        <f>L181*AK181</f>
        <v/>
      </c>
      <c r="AM181" s="2" t="n"/>
      <c r="AO181" s="3">
        <f>'_Настройки'!$B$5</f>
        <v/>
      </c>
      <c r="AP181" s="2">
        <f>IF(K181&gt;0;K181*AO181;0)</f>
        <v/>
      </c>
      <c r="AQ181" s="2">
        <f>L181-K181-AI181-AE181-IF(AM181&gt;0;AM181;'_Настройки'!$B$9)-AP181-AC181</f>
        <v/>
      </c>
      <c r="AR181" s="3">
        <f>IF(L181&gt;0;AQ181/L181;"")</f>
        <v/>
      </c>
      <c r="AS181" s="3">
        <f>IF(K181&gt;0;AQ181/K181;"")</f>
        <v/>
      </c>
      <c r="AT181" s="2">
        <f>L181-K181-AL181-AE181-IF(AM181&gt;0;AM181;'_Настройки'!$B$9)-AP181-AC181</f>
        <v/>
      </c>
      <c r="AU181" s="3">
        <f>IF(L181&gt;0;AT181/L181;"")</f>
        <v/>
      </c>
      <c r="AV181" s="3">
        <f>IF(K181&gt;0;AT181/K181;"")</f>
        <v/>
      </c>
    </row>
    <row r="182">
      <c r="A182">
        <f>ROW()-1</f>
        <v/>
      </c>
      <c r="K182" s="2">
        <f>IFERROR(INDEX('_Цены_закупки'!$B:$B;MATCH(C182;'_Цены_закупки'!$A:$A;0));"")</f>
        <v/>
      </c>
      <c r="L182" s="2" t="n"/>
      <c r="M182" s="2" t="n"/>
      <c r="N182" s="3">
        <f>IF(AND(M182&gt;0;L182&gt;0);1-L182/M182;"")</f>
        <v/>
      </c>
      <c r="O182" s="2">
        <f>IF(OR(Q182="";K182=0);"";(K182+IF(AM182&gt;0;AM182;'_Настройки'!$B$9)+AP182+AC182+Q182*K182)/(1-AH182-AD182))</f>
        <v/>
      </c>
      <c r="P182" s="2">
        <f>IF(O182="";"";O182-K182-O182*AH182-O182*AD182-IF(AM182&gt;0;AM182;'_Настройки'!$B$9)-AP182-AC182)</f>
        <v/>
      </c>
      <c r="Q182" s="3">
        <f>IF(AND(O182&gt;0;K182&gt;0);P182/K182;"")</f>
        <v/>
      </c>
      <c r="R182" s="2">
        <f>IF(O182="";"";O182-K182-O182*AK182-O182*AD182-IF(AM182&gt;0;AM182;'_Настройки'!$B$9)-AP182-AC182)</f>
        <v/>
      </c>
      <c r="S182" s="3">
        <f>IF(AND(O182&gt;0;K182&gt;0);R182/K182;"")</f>
        <v/>
      </c>
      <c r="T182" s="2" t="n"/>
      <c r="U182" s="3">
        <f>IF(AND(L182&gt;0;T182&gt;0);1-T182/L182;"")</f>
        <v/>
      </c>
      <c r="V182" s="3">
        <f>'_Настройки'!$B$4</f>
        <v/>
      </c>
      <c r="Z182" s="4">
        <f>IF(AND(W182&gt;0;X182&gt;0;Y182&gt;0);W182*X182*Y182/1000;"")</f>
        <v/>
      </c>
      <c r="AB182" s="2">
        <f>('_Настройки'!$B$6+MAX(0;Z182-1)*'_Настройки'!$B$7)*IF(AA182&gt;0;AA182;'_Настройки'!$B$10)</f>
        <v/>
      </c>
      <c r="AC182" s="2">
        <f>AB182*(1+'_Настройки'!$B$8)</f>
        <v/>
      </c>
      <c r="AD182" s="3">
        <f>'_Настройки'!$B$2</f>
        <v/>
      </c>
      <c r="AE182" s="2">
        <f>L182*AD182</f>
        <v/>
      </c>
      <c r="AF182" s="3">
        <f>'_Настройки'!$B$3</f>
        <v/>
      </c>
      <c r="AG182" s="3">
        <f>IFERROR(INDEX('_Комиссия_ВБ'!$B:$B;MATCH(C182;'_Комиссия_ВБ'!$A:$A;0));0,245)</f>
        <v/>
      </c>
      <c r="AH182" s="3">
        <f>AG182+AF182</f>
        <v/>
      </c>
      <c r="AI182" s="2">
        <f>L182*AH182</f>
        <v/>
      </c>
      <c r="AJ182" s="3">
        <f>IFERROR(INDEX('_Комиссия_ВБ'!$C:$C;MATCH(C182;'_Комиссия_ВБ'!$A:$A;0));0,28)</f>
        <v/>
      </c>
      <c r="AK182" s="3">
        <f>AJ182+AF182</f>
        <v/>
      </c>
      <c r="AL182" s="2">
        <f>L182*AK182</f>
        <v/>
      </c>
      <c r="AM182" s="2" t="n"/>
      <c r="AO182" s="3">
        <f>'_Настройки'!$B$5</f>
        <v/>
      </c>
      <c r="AP182" s="2">
        <f>IF(K182&gt;0;K182*AO182;0)</f>
        <v/>
      </c>
      <c r="AQ182" s="2">
        <f>L182-K182-AI182-AE182-IF(AM182&gt;0;AM182;'_Настройки'!$B$9)-AP182-AC182</f>
        <v/>
      </c>
      <c r="AR182" s="3">
        <f>IF(L182&gt;0;AQ182/L182;"")</f>
        <v/>
      </c>
      <c r="AS182" s="3">
        <f>IF(K182&gt;0;AQ182/K182;"")</f>
        <v/>
      </c>
      <c r="AT182" s="2">
        <f>L182-K182-AL182-AE182-IF(AM182&gt;0;AM182;'_Настройки'!$B$9)-AP182-AC182</f>
        <v/>
      </c>
      <c r="AU182" s="3">
        <f>IF(L182&gt;0;AT182/L182;"")</f>
        <v/>
      </c>
      <c r="AV182" s="3">
        <f>IF(K182&gt;0;AT182/K182;"")</f>
        <v/>
      </c>
    </row>
    <row r="183">
      <c r="A183">
        <f>ROW()-1</f>
        <v/>
      </c>
      <c r="K183" s="2">
        <f>IFERROR(INDEX('_Цены_закупки'!$B:$B;MATCH(C183;'_Цены_закупки'!$A:$A;0));"")</f>
        <v/>
      </c>
      <c r="L183" s="2" t="n"/>
      <c r="M183" s="2" t="n"/>
      <c r="N183" s="3">
        <f>IF(AND(M183&gt;0;L183&gt;0);1-L183/M183;"")</f>
        <v/>
      </c>
      <c r="O183" s="2">
        <f>IF(OR(Q183="";K183=0);"";(K183+IF(AM183&gt;0;AM183;'_Настройки'!$B$9)+AP183+AC183+Q183*K183)/(1-AH183-AD183))</f>
        <v/>
      </c>
      <c r="P183" s="2">
        <f>IF(O183="";"";O183-K183-O183*AH183-O183*AD183-IF(AM183&gt;0;AM183;'_Настройки'!$B$9)-AP183-AC183)</f>
        <v/>
      </c>
      <c r="Q183" s="3">
        <f>IF(AND(O183&gt;0;K183&gt;0);P183/K183;"")</f>
        <v/>
      </c>
      <c r="R183" s="2">
        <f>IF(O183="";"";O183-K183-O183*AK183-O183*AD183-IF(AM183&gt;0;AM183;'_Настройки'!$B$9)-AP183-AC183)</f>
        <v/>
      </c>
      <c r="S183" s="3">
        <f>IF(AND(O183&gt;0;K183&gt;0);R183/K183;"")</f>
        <v/>
      </c>
      <c r="T183" s="2" t="n"/>
      <c r="U183" s="3">
        <f>IF(AND(L183&gt;0;T183&gt;0);1-T183/L183;"")</f>
        <v/>
      </c>
      <c r="V183" s="3">
        <f>'_Настройки'!$B$4</f>
        <v/>
      </c>
      <c r="Z183" s="4">
        <f>IF(AND(W183&gt;0;X183&gt;0;Y183&gt;0);W183*X183*Y183/1000;"")</f>
        <v/>
      </c>
      <c r="AB183" s="2">
        <f>('_Настройки'!$B$6+MAX(0;Z183-1)*'_Настройки'!$B$7)*IF(AA183&gt;0;AA183;'_Настройки'!$B$10)</f>
        <v/>
      </c>
      <c r="AC183" s="2">
        <f>AB183*(1+'_Настройки'!$B$8)</f>
        <v/>
      </c>
      <c r="AD183" s="3">
        <f>'_Настройки'!$B$2</f>
        <v/>
      </c>
      <c r="AE183" s="2">
        <f>L183*AD183</f>
        <v/>
      </c>
      <c r="AF183" s="3">
        <f>'_Настройки'!$B$3</f>
        <v/>
      </c>
      <c r="AG183" s="3">
        <f>IFERROR(INDEX('_Комиссия_ВБ'!$B:$B;MATCH(C183;'_Комиссия_ВБ'!$A:$A;0));0,245)</f>
        <v/>
      </c>
      <c r="AH183" s="3">
        <f>AG183+AF183</f>
        <v/>
      </c>
      <c r="AI183" s="2">
        <f>L183*AH183</f>
        <v/>
      </c>
      <c r="AJ183" s="3">
        <f>IFERROR(INDEX('_Комиссия_ВБ'!$C:$C;MATCH(C183;'_Комиссия_ВБ'!$A:$A;0));0,28)</f>
        <v/>
      </c>
      <c r="AK183" s="3">
        <f>AJ183+AF183</f>
        <v/>
      </c>
      <c r="AL183" s="2">
        <f>L183*AK183</f>
        <v/>
      </c>
      <c r="AM183" s="2" t="n"/>
      <c r="AO183" s="3">
        <f>'_Настройки'!$B$5</f>
        <v/>
      </c>
      <c r="AP183" s="2">
        <f>IF(K183&gt;0;K183*AO183;0)</f>
        <v/>
      </c>
      <c r="AQ183" s="2">
        <f>L183-K183-AI183-AE183-IF(AM183&gt;0;AM183;'_Настройки'!$B$9)-AP183-AC183</f>
        <v/>
      </c>
      <c r="AR183" s="3">
        <f>IF(L183&gt;0;AQ183/L183;"")</f>
        <v/>
      </c>
      <c r="AS183" s="3">
        <f>IF(K183&gt;0;AQ183/K183;"")</f>
        <v/>
      </c>
      <c r="AT183" s="2">
        <f>L183-K183-AL183-AE183-IF(AM183&gt;0;AM183;'_Настройки'!$B$9)-AP183-AC183</f>
        <v/>
      </c>
      <c r="AU183" s="3">
        <f>IF(L183&gt;0;AT183/L183;"")</f>
        <v/>
      </c>
      <c r="AV183" s="3">
        <f>IF(K183&gt;0;AT183/K183;"")</f>
        <v/>
      </c>
    </row>
    <row r="184">
      <c r="A184">
        <f>ROW()-1</f>
        <v/>
      </c>
      <c r="K184" s="2">
        <f>IFERROR(INDEX('_Цены_закупки'!$B:$B;MATCH(C184;'_Цены_закупки'!$A:$A;0));"")</f>
        <v/>
      </c>
      <c r="L184" s="2" t="n"/>
      <c r="M184" s="2" t="n"/>
      <c r="N184" s="3">
        <f>IF(AND(M184&gt;0;L184&gt;0);1-L184/M184;"")</f>
        <v/>
      </c>
      <c r="O184" s="2">
        <f>IF(OR(Q184="";K184=0);"";(K184+IF(AM184&gt;0;AM184;'_Настройки'!$B$9)+AP184+AC184+Q184*K184)/(1-AH184-AD184))</f>
        <v/>
      </c>
      <c r="P184" s="2">
        <f>IF(O184="";"";O184-K184-O184*AH184-O184*AD184-IF(AM184&gt;0;AM184;'_Настройки'!$B$9)-AP184-AC184)</f>
        <v/>
      </c>
      <c r="Q184" s="3">
        <f>IF(AND(O184&gt;0;K184&gt;0);P184/K184;"")</f>
        <v/>
      </c>
      <c r="R184" s="2">
        <f>IF(O184="";"";O184-K184-O184*AK184-O184*AD184-IF(AM184&gt;0;AM184;'_Настройки'!$B$9)-AP184-AC184)</f>
        <v/>
      </c>
      <c r="S184" s="3">
        <f>IF(AND(O184&gt;0;K184&gt;0);R184/K184;"")</f>
        <v/>
      </c>
      <c r="T184" s="2" t="n"/>
      <c r="U184" s="3">
        <f>IF(AND(L184&gt;0;T184&gt;0);1-T184/L184;"")</f>
        <v/>
      </c>
      <c r="V184" s="3">
        <f>'_Настройки'!$B$4</f>
        <v/>
      </c>
      <c r="Z184" s="4">
        <f>IF(AND(W184&gt;0;X184&gt;0;Y184&gt;0);W184*X184*Y184/1000;"")</f>
        <v/>
      </c>
      <c r="AB184" s="2">
        <f>('_Настройки'!$B$6+MAX(0;Z184-1)*'_Настройки'!$B$7)*IF(AA184&gt;0;AA184;'_Настройки'!$B$10)</f>
        <v/>
      </c>
      <c r="AC184" s="2">
        <f>AB184*(1+'_Настройки'!$B$8)</f>
        <v/>
      </c>
      <c r="AD184" s="3">
        <f>'_Настройки'!$B$2</f>
        <v/>
      </c>
      <c r="AE184" s="2">
        <f>L184*AD184</f>
        <v/>
      </c>
      <c r="AF184" s="3">
        <f>'_Настройки'!$B$3</f>
        <v/>
      </c>
      <c r="AG184" s="3">
        <f>IFERROR(INDEX('_Комиссия_ВБ'!$B:$B;MATCH(C184;'_Комиссия_ВБ'!$A:$A;0));0,245)</f>
        <v/>
      </c>
      <c r="AH184" s="3">
        <f>AG184+AF184</f>
        <v/>
      </c>
      <c r="AI184" s="2">
        <f>L184*AH184</f>
        <v/>
      </c>
      <c r="AJ184" s="3">
        <f>IFERROR(INDEX('_Комиссия_ВБ'!$C:$C;MATCH(C184;'_Комиссия_ВБ'!$A:$A;0));0,28)</f>
        <v/>
      </c>
      <c r="AK184" s="3">
        <f>AJ184+AF184</f>
        <v/>
      </c>
      <c r="AL184" s="2">
        <f>L184*AK184</f>
        <v/>
      </c>
      <c r="AM184" s="2" t="n"/>
      <c r="AO184" s="3">
        <f>'_Настройки'!$B$5</f>
        <v/>
      </c>
      <c r="AP184" s="2">
        <f>IF(K184&gt;0;K184*AO184;0)</f>
        <v/>
      </c>
      <c r="AQ184" s="2">
        <f>L184-K184-AI184-AE184-IF(AM184&gt;0;AM184;'_Настройки'!$B$9)-AP184-AC184</f>
        <v/>
      </c>
      <c r="AR184" s="3">
        <f>IF(L184&gt;0;AQ184/L184;"")</f>
        <v/>
      </c>
      <c r="AS184" s="3">
        <f>IF(K184&gt;0;AQ184/K184;"")</f>
        <v/>
      </c>
      <c r="AT184" s="2">
        <f>L184-K184-AL184-AE184-IF(AM184&gt;0;AM184;'_Настройки'!$B$9)-AP184-AC184</f>
        <v/>
      </c>
      <c r="AU184" s="3">
        <f>IF(L184&gt;0;AT184/L184;"")</f>
        <v/>
      </c>
      <c r="AV184" s="3">
        <f>IF(K184&gt;0;AT184/K184;"")</f>
        <v/>
      </c>
    </row>
    <row r="185">
      <c r="A185">
        <f>ROW()-1</f>
        <v/>
      </c>
      <c r="K185" s="2">
        <f>IFERROR(INDEX('_Цены_закупки'!$B:$B;MATCH(C185;'_Цены_закупки'!$A:$A;0));"")</f>
        <v/>
      </c>
      <c r="L185" s="2" t="n"/>
      <c r="M185" s="2" t="n"/>
      <c r="N185" s="3">
        <f>IF(AND(M185&gt;0;L185&gt;0);1-L185/M185;"")</f>
        <v/>
      </c>
      <c r="O185" s="2">
        <f>IF(OR(Q185="";K185=0);"";(K185+IF(AM185&gt;0;AM185;'_Настройки'!$B$9)+AP185+AC185+Q185*K185)/(1-AH185-AD185))</f>
        <v/>
      </c>
      <c r="P185" s="2">
        <f>IF(O185="";"";O185-K185-O185*AH185-O185*AD185-IF(AM185&gt;0;AM185;'_Настройки'!$B$9)-AP185-AC185)</f>
        <v/>
      </c>
      <c r="Q185" s="3">
        <f>IF(AND(O185&gt;0;K185&gt;0);P185/K185;"")</f>
        <v/>
      </c>
      <c r="R185" s="2">
        <f>IF(O185="";"";O185-K185-O185*AK185-O185*AD185-IF(AM185&gt;0;AM185;'_Настройки'!$B$9)-AP185-AC185)</f>
        <v/>
      </c>
      <c r="S185" s="3">
        <f>IF(AND(O185&gt;0;K185&gt;0);R185/K185;"")</f>
        <v/>
      </c>
      <c r="T185" s="2" t="n"/>
      <c r="U185" s="3">
        <f>IF(AND(L185&gt;0;T185&gt;0);1-T185/L185;"")</f>
        <v/>
      </c>
      <c r="V185" s="3">
        <f>'_Настройки'!$B$4</f>
        <v/>
      </c>
      <c r="Z185" s="4">
        <f>IF(AND(W185&gt;0;X185&gt;0;Y185&gt;0);W185*X185*Y185/1000;"")</f>
        <v/>
      </c>
      <c r="AB185" s="2">
        <f>('_Настройки'!$B$6+MAX(0;Z185-1)*'_Настройки'!$B$7)*IF(AA185&gt;0;AA185;'_Настройки'!$B$10)</f>
        <v/>
      </c>
      <c r="AC185" s="2">
        <f>AB185*(1+'_Настройки'!$B$8)</f>
        <v/>
      </c>
      <c r="AD185" s="3">
        <f>'_Настройки'!$B$2</f>
        <v/>
      </c>
      <c r="AE185" s="2">
        <f>L185*AD185</f>
        <v/>
      </c>
      <c r="AF185" s="3">
        <f>'_Настройки'!$B$3</f>
        <v/>
      </c>
      <c r="AG185" s="3">
        <f>IFERROR(INDEX('_Комиссия_ВБ'!$B:$B;MATCH(C185;'_Комиссия_ВБ'!$A:$A;0));0,245)</f>
        <v/>
      </c>
      <c r="AH185" s="3">
        <f>AG185+AF185</f>
        <v/>
      </c>
      <c r="AI185" s="2">
        <f>L185*AH185</f>
        <v/>
      </c>
      <c r="AJ185" s="3">
        <f>IFERROR(INDEX('_Комиссия_ВБ'!$C:$C;MATCH(C185;'_Комиссия_ВБ'!$A:$A;0));0,28)</f>
        <v/>
      </c>
      <c r="AK185" s="3">
        <f>AJ185+AF185</f>
        <v/>
      </c>
      <c r="AL185" s="2">
        <f>L185*AK185</f>
        <v/>
      </c>
      <c r="AM185" s="2" t="n"/>
      <c r="AO185" s="3">
        <f>'_Настройки'!$B$5</f>
        <v/>
      </c>
      <c r="AP185" s="2">
        <f>IF(K185&gt;0;K185*AO185;0)</f>
        <v/>
      </c>
      <c r="AQ185" s="2">
        <f>L185-K185-AI185-AE185-IF(AM185&gt;0;AM185;'_Настройки'!$B$9)-AP185-AC185</f>
        <v/>
      </c>
      <c r="AR185" s="3">
        <f>IF(L185&gt;0;AQ185/L185;"")</f>
        <v/>
      </c>
      <c r="AS185" s="3">
        <f>IF(K185&gt;0;AQ185/K185;"")</f>
        <v/>
      </c>
      <c r="AT185" s="2">
        <f>L185-K185-AL185-AE185-IF(AM185&gt;0;AM185;'_Настройки'!$B$9)-AP185-AC185</f>
        <v/>
      </c>
      <c r="AU185" s="3">
        <f>IF(L185&gt;0;AT185/L185;"")</f>
        <v/>
      </c>
      <c r="AV185" s="3">
        <f>IF(K185&gt;0;AT185/K185;"")</f>
        <v/>
      </c>
    </row>
    <row r="186">
      <c r="A186">
        <f>ROW()-1</f>
        <v/>
      </c>
      <c r="K186" s="2">
        <f>IFERROR(INDEX('_Цены_закупки'!$B:$B;MATCH(C186;'_Цены_закупки'!$A:$A;0));"")</f>
        <v/>
      </c>
      <c r="L186" s="2" t="n"/>
      <c r="M186" s="2" t="n"/>
      <c r="N186" s="3">
        <f>IF(AND(M186&gt;0;L186&gt;0);1-L186/M186;"")</f>
        <v/>
      </c>
      <c r="O186" s="2">
        <f>IF(OR(Q186="";K186=0);"";(K186+IF(AM186&gt;0;AM186;'_Настройки'!$B$9)+AP186+AC186+Q186*K186)/(1-AH186-AD186))</f>
        <v/>
      </c>
      <c r="P186" s="2">
        <f>IF(O186="";"";O186-K186-O186*AH186-O186*AD186-IF(AM186&gt;0;AM186;'_Настройки'!$B$9)-AP186-AC186)</f>
        <v/>
      </c>
      <c r="Q186" s="3">
        <f>IF(AND(O186&gt;0;K186&gt;0);P186/K186;"")</f>
        <v/>
      </c>
      <c r="R186" s="2">
        <f>IF(O186="";"";O186-K186-O186*AK186-O186*AD186-IF(AM186&gt;0;AM186;'_Настройки'!$B$9)-AP186-AC186)</f>
        <v/>
      </c>
      <c r="S186" s="3">
        <f>IF(AND(O186&gt;0;K186&gt;0);R186/K186;"")</f>
        <v/>
      </c>
      <c r="T186" s="2" t="n"/>
      <c r="U186" s="3">
        <f>IF(AND(L186&gt;0;T186&gt;0);1-T186/L186;"")</f>
        <v/>
      </c>
      <c r="V186" s="3">
        <f>'_Настройки'!$B$4</f>
        <v/>
      </c>
      <c r="Z186" s="4">
        <f>IF(AND(W186&gt;0;X186&gt;0;Y186&gt;0);W186*X186*Y186/1000;"")</f>
        <v/>
      </c>
      <c r="AB186" s="2">
        <f>('_Настройки'!$B$6+MAX(0;Z186-1)*'_Настройки'!$B$7)*IF(AA186&gt;0;AA186;'_Настройки'!$B$10)</f>
        <v/>
      </c>
      <c r="AC186" s="2">
        <f>AB186*(1+'_Настройки'!$B$8)</f>
        <v/>
      </c>
      <c r="AD186" s="3">
        <f>'_Настройки'!$B$2</f>
        <v/>
      </c>
      <c r="AE186" s="2">
        <f>L186*AD186</f>
        <v/>
      </c>
      <c r="AF186" s="3">
        <f>'_Настройки'!$B$3</f>
        <v/>
      </c>
      <c r="AG186" s="3">
        <f>IFERROR(INDEX('_Комиссия_ВБ'!$B:$B;MATCH(C186;'_Комиссия_ВБ'!$A:$A;0));0,245)</f>
        <v/>
      </c>
      <c r="AH186" s="3">
        <f>AG186+AF186</f>
        <v/>
      </c>
      <c r="AI186" s="2">
        <f>L186*AH186</f>
        <v/>
      </c>
      <c r="AJ186" s="3">
        <f>IFERROR(INDEX('_Комиссия_ВБ'!$C:$C;MATCH(C186;'_Комиссия_ВБ'!$A:$A;0));0,28)</f>
        <v/>
      </c>
      <c r="AK186" s="3">
        <f>AJ186+AF186</f>
        <v/>
      </c>
      <c r="AL186" s="2">
        <f>L186*AK186</f>
        <v/>
      </c>
      <c r="AM186" s="2" t="n"/>
      <c r="AO186" s="3">
        <f>'_Настройки'!$B$5</f>
        <v/>
      </c>
      <c r="AP186" s="2">
        <f>IF(K186&gt;0;K186*AO186;0)</f>
        <v/>
      </c>
      <c r="AQ186" s="2">
        <f>L186-K186-AI186-AE186-IF(AM186&gt;0;AM186;'_Настройки'!$B$9)-AP186-AC186</f>
        <v/>
      </c>
      <c r="AR186" s="3">
        <f>IF(L186&gt;0;AQ186/L186;"")</f>
        <v/>
      </c>
      <c r="AS186" s="3">
        <f>IF(K186&gt;0;AQ186/K186;"")</f>
        <v/>
      </c>
      <c r="AT186" s="2">
        <f>L186-K186-AL186-AE186-IF(AM186&gt;0;AM186;'_Настройки'!$B$9)-AP186-AC186</f>
        <v/>
      </c>
      <c r="AU186" s="3">
        <f>IF(L186&gt;0;AT186/L186;"")</f>
        <v/>
      </c>
      <c r="AV186" s="3">
        <f>IF(K186&gt;0;AT186/K186;"")</f>
        <v/>
      </c>
    </row>
    <row r="187">
      <c r="A187">
        <f>ROW()-1</f>
        <v/>
      </c>
      <c r="K187" s="2">
        <f>IFERROR(INDEX('_Цены_закупки'!$B:$B;MATCH(C187;'_Цены_закупки'!$A:$A;0));"")</f>
        <v/>
      </c>
      <c r="L187" s="2" t="n"/>
      <c r="M187" s="2" t="n"/>
      <c r="N187" s="3">
        <f>IF(AND(M187&gt;0;L187&gt;0);1-L187/M187;"")</f>
        <v/>
      </c>
      <c r="O187" s="2">
        <f>IF(OR(Q187="";K187=0);"";(K187+IF(AM187&gt;0;AM187;'_Настройки'!$B$9)+AP187+AC187+Q187*K187)/(1-AH187-AD187))</f>
        <v/>
      </c>
      <c r="P187" s="2">
        <f>IF(O187="";"";O187-K187-O187*AH187-O187*AD187-IF(AM187&gt;0;AM187;'_Настройки'!$B$9)-AP187-AC187)</f>
        <v/>
      </c>
      <c r="Q187" s="3">
        <f>IF(AND(O187&gt;0;K187&gt;0);P187/K187;"")</f>
        <v/>
      </c>
      <c r="R187" s="2">
        <f>IF(O187="";"";O187-K187-O187*AK187-O187*AD187-IF(AM187&gt;0;AM187;'_Настройки'!$B$9)-AP187-AC187)</f>
        <v/>
      </c>
      <c r="S187" s="3">
        <f>IF(AND(O187&gt;0;K187&gt;0);R187/K187;"")</f>
        <v/>
      </c>
      <c r="T187" s="2" t="n"/>
      <c r="U187" s="3">
        <f>IF(AND(L187&gt;0;T187&gt;0);1-T187/L187;"")</f>
        <v/>
      </c>
      <c r="V187" s="3">
        <f>'_Настройки'!$B$4</f>
        <v/>
      </c>
      <c r="Z187" s="4">
        <f>IF(AND(W187&gt;0;X187&gt;0;Y187&gt;0);W187*X187*Y187/1000;"")</f>
        <v/>
      </c>
      <c r="AB187" s="2">
        <f>('_Настройки'!$B$6+MAX(0;Z187-1)*'_Настройки'!$B$7)*IF(AA187&gt;0;AA187;'_Настройки'!$B$10)</f>
        <v/>
      </c>
      <c r="AC187" s="2">
        <f>AB187*(1+'_Настройки'!$B$8)</f>
        <v/>
      </c>
      <c r="AD187" s="3">
        <f>'_Настройки'!$B$2</f>
        <v/>
      </c>
      <c r="AE187" s="2">
        <f>L187*AD187</f>
        <v/>
      </c>
      <c r="AF187" s="3">
        <f>'_Настройки'!$B$3</f>
        <v/>
      </c>
      <c r="AG187" s="3">
        <f>IFERROR(INDEX('_Комиссия_ВБ'!$B:$B;MATCH(C187;'_Комиссия_ВБ'!$A:$A;0));0,245)</f>
        <v/>
      </c>
      <c r="AH187" s="3">
        <f>AG187+AF187</f>
        <v/>
      </c>
      <c r="AI187" s="2">
        <f>L187*AH187</f>
        <v/>
      </c>
      <c r="AJ187" s="3">
        <f>IFERROR(INDEX('_Комиссия_ВБ'!$C:$C;MATCH(C187;'_Комиссия_ВБ'!$A:$A;0));0,28)</f>
        <v/>
      </c>
      <c r="AK187" s="3">
        <f>AJ187+AF187</f>
        <v/>
      </c>
      <c r="AL187" s="2">
        <f>L187*AK187</f>
        <v/>
      </c>
      <c r="AM187" s="2" t="n"/>
      <c r="AO187" s="3">
        <f>'_Настройки'!$B$5</f>
        <v/>
      </c>
      <c r="AP187" s="2">
        <f>IF(K187&gt;0;K187*AO187;0)</f>
        <v/>
      </c>
      <c r="AQ187" s="2">
        <f>L187-K187-AI187-AE187-IF(AM187&gt;0;AM187;'_Настройки'!$B$9)-AP187-AC187</f>
        <v/>
      </c>
      <c r="AR187" s="3">
        <f>IF(L187&gt;0;AQ187/L187;"")</f>
        <v/>
      </c>
      <c r="AS187" s="3">
        <f>IF(K187&gt;0;AQ187/K187;"")</f>
        <v/>
      </c>
      <c r="AT187" s="2">
        <f>L187-K187-AL187-AE187-IF(AM187&gt;0;AM187;'_Настройки'!$B$9)-AP187-AC187</f>
        <v/>
      </c>
      <c r="AU187" s="3">
        <f>IF(L187&gt;0;AT187/L187;"")</f>
        <v/>
      </c>
      <c r="AV187" s="3">
        <f>IF(K187&gt;0;AT187/K187;"")</f>
        <v/>
      </c>
    </row>
    <row r="188">
      <c r="A188">
        <f>ROW()-1</f>
        <v/>
      </c>
      <c r="K188" s="2">
        <f>IFERROR(INDEX('_Цены_закупки'!$B:$B;MATCH(C188;'_Цены_закупки'!$A:$A;0));"")</f>
        <v/>
      </c>
      <c r="L188" s="2" t="n"/>
      <c r="M188" s="2" t="n"/>
      <c r="N188" s="3">
        <f>IF(AND(M188&gt;0;L188&gt;0);1-L188/M188;"")</f>
        <v/>
      </c>
      <c r="O188" s="2">
        <f>IF(OR(Q188="";K188=0);"";(K188+IF(AM188&gt;0;AM188;'_Настройки'!$B$9)+AP188+AC188+Q188*K188)/(1-AH188-AD188))</f>
        <v/>
      </c>
      <c r="P188" s="2">
        <f>IF(O188="";"";O188-K188-O188*AH188-O188*AD188-IF(AM188&gt;0;AM188;'_Настройки'!$B$9)-AP188-AC188)</f>
        <v/>
      </c>
      <c r="Q188" s="3">
        <f>IF(AND(O188&gt;0;K188&gt;0);P188/K188;"")</f>
        <v/>
      </c>
      <c r="R188" s="2">
        <f>IF(O188="";"";O188-K188-O188*AK188-O188*AD188-IF(AM188&gt;0;AM188;'_Настройки'!$B$9)-AP188-AC188)</f>
        <v/>
      </c>
      <c r="S188" s="3">
        <f>IF(AND(O188&gt;0;K188&gt;0);R188/K188;"")</f>
        <v/>
      </c>
      <c r="T188" s="2" t="n"/>
      <c r="U188" s="3">
        <f>IF(AND(L188&gt;0;T188&gt;0);1-T188/L188;"")</f>
        <v/>
      </c>
      <c r="V188" s="3">
        <f>'_Настройки'!$B$4</f>
        <v/>
      </c>
      <c r="Z188" s="4">
        <f>IF(AND(W188&gt;0;X188&gt;0;Y188&gt;0);W188*X188*Y188/1000;"")</f>
        <v/>
      </c>
      <c r="AB188" s="2">
        <f>('_Настройки'!$B$6+MAX(0;Z188-1)*'_Настройки'!$B$7)*IF(AA188&gt;0;AA188;'_Настройки'!$B$10)</f>
        <v/>
      </c>
      <c r="AC188" s="2">
        <f>AB188*(1+'_Настройки'!$B$8)</f>
        <v/>
      </c>
      <c r="AD188" s="3">
        <f>'_Настройки'!$B$2</f>
        <v/>
      </c>
      <c r="AE188" s="2">
        <f>L188*AD188</f>
        <v/>
      </c>
      <c r="AF188" s="3">
        <f>'_Настройки'!$B$3</f>
        <v/>
      </c>
      <c r="AG188" s="3">
        <f>IFERROR(INDEX('_Комиссия_ВБ'!$B:$B;MATCH(C188;'_Комиссия_ВБ'!$A:$A;0));0,245)</f>
        <v/>
      </c>
      <c r="AH188" s="3">
        <f>AG188+AF188</f>
        <v/>
      </c>
      <c r="AI188" s="2">
        <f>L188*AH188</f>
        <v/>
      </c>
      <c r="AJ188" s="3">
        <f>IFERROR(INDEX('_Комиссия_ВБ'!$C:$C;MATCH(C188;'_Комиссия_ВБ'!$A:$A;0));0,28)</f>
        <v/>
      </c>
      <c r="AK188" s="3">
        <f>AJ188+AF188</f>
        <v/>
      </c>
      <c r="AL188" s="2">
        <f>L188*AK188</f>
        <v/>
      </c>
      <c r="AM188" s="2" t="n"/>
      <c r="AO188" s="3">
        <f>'_Настройки'!$B$5</f>
        <v/>
      </c>
      <c r="AP188" s="2">
        <f>IF(K188&gt;0;K188*AO188;0)</f>
        <v/>
      </c>
      <c r="AQ188" s="2">
        <f>L188-K188-AI188-AE188-IF(AM188&gt;0;AM188;'_Настройки'!$B$9)-AP188-AC188</f>
        <v/>
      </c>
      <c r="AR188" s="3">
        <f>IF(L188&gt;0;AQ188/L188;"")</f>
        <v/>
      </c>
      <c r="AS188" s="3">
        <f>IF(K188&gt;0;AQ188/K188;"")</f>
        <v/>
      </c>
      <c r="AT188" s="2">
        <f>L188-K188-AL188-AE188-IF(AM188&gt;0;AM188;'_Настройки'!$B$9)-AP188-AC188</f>
        <v/>
      </c>
      <c r="AU188" s="3">
        <f>IF(L188&gt;0;AT188/L188;"")</f>
        <v/>
      </c>
      <c r="AV188" s="3">
        <f>IF(K188&gt;0;AT188/K188;"")</f>
        <v/>
      </c>
    </row>
    <row r="189">
      <c r="A189">
        <f>ROW()-1</f>
        <v/>
      </c>
      <c r="K189" s="2">
        <f>IFERROR(INDEX('_Цены_закупки'!$B:$B;MATCH(C189;'_Цены_закупки'!$A:$A;0));"")</f>
        <v/>
      </c>
      <c r="L189" s="2" t="n"/>
      <c r="M189" s="2" t="n"/>
      <c r="N189" s="3">
        <f>IF(AND(M189&gt;0;L189&gt;0);1-L189/M189;"")</f>
        <v/>
      </c>
      <c r="O189" s="2">
        <f>IF(OR(Q189="";K189=0);"";(K189+IF(AM189&gt;0;AM189;'_Настройки'!$B$9)+AP189+AC189+Q189*K189)/(1-AH189-AD189))</f>
        <v/>
      </c>
      <c r="P189" s="2">
        <f>IF(O189="";"";O189-K189-O189*AH189-O189*AD189-IF(AM189&gt;0;AM189;'_Настройки'!$B$9)-AP189-AC189)</f>
        <v/>
      </c>
      <c r="Q189" s="3">
        <f>IF(AND(O189&gt;0;K189&gt;0);P189/K189;"")</f>
        <v/>
      </c>
      <c r="R189" s="2">
        <f>IF(O189="";"";O189-K189-O189*AK189-O189*AD189-IF(AM189&gt;0;AM189;'_Настройки'!$B$9)-AP189-AC189)</f>
        <v/>
      </c>
      <c r="S189" s="3">
        <f>IF(AND(O189&gt;0;K189&gt;0);R189/K189;"")</f>
        <v/>
      </c>
      <c r="T189" s="2" t="n"/>
      <c r="U189" s="3">
        <f>IF(AND(L189&gt;0;T189&gt;0);1-T189/L189;"")</f>
        <v/>
      </c>
      <c r="V189" s="3">
        <f>'_Настройки'!$B$4</f>
        <v/>
      </c>
      <c r="Z189" s="4">
        <f>IF(AND(W189&gt;0;X189&gt;0;Y189&gt;0);W189*X189*Y189/1000;"")</f>
        <v/>
      </c>
      <c r="AB189" s="2">
        <f>('_Настройки'!$B$6+MAX(0;Z189-1)*'_Настройки'!$B$7)*IF(AA189&gt;0;AA189;'_Настройки'!$B$10)</f>
        <v/>
      </c>
      <c r="AC189" s="2">
        <f>AB189*(1+'_Настройки'!$B$8)</f>
        <v/>
      </c>
      <c r="AD189" s="3">
        <f>'_Настройки'!$B$2</f>
        <v/>
      </c>
      <c r="AE189" s="2">
        <f>L189*AD189</f>
        <v/>
      </c>
      <c r="AF189" s="3">
        <f>'_Настройки'!$B$3</f>
        <v/>
      </c>
      <c r="AG189" s="3">
        <f>IFERROR(INDEX('_Комиссия_ВБ'!$B:$B;MATCH(C189;'_Комиссия_ВБ'!$A:$A;0));0,245)</f>
        <v/>
      </c>
      <c r="AH189" s="3">
        <f>AG189+AF189</f>
        <v/>
      </c>
      <c r="AI189" s="2">
        <f>L189*AH189</f>
        <v/>
      </c>
      <c r="AJ189" s="3">
        <f>IFERROR(INDEX('_Комиссия_ВБ'!$C:$C;MATCH(C189;'_Комиссия_ВБ'!$A:$A;0));0,28)</f>
        <v/>
      </c>
      <c r="AK189" s="3">
        <f>AJ189+AF189</f>
        <v/>
      </c>
      <c r="AL189" s="2">
        <f>L189*AK189</f>
        <v/>
      </c>
      <c r="AM189" s="2" t="n"/>
      <c r="AO189" s="3">
        <f>'_Настройки'!$B$5</f>
        <v/>
      </c>
      <c r="AP189" s="2">
        <f>IF(K189&gt;0;K189*AO189;0)</f>
        <v/>
      </c>
      <c r="AQ189" s="2">
        <f>L189-K189-AI189-AE189-IF(AM189&gt;0;AM189;'_Настройки'!$B$9)-AP189-AC189</f>
        <v/>
      </c>
      <c r="AR189" s="3">
        <f>IF(L189&gt;0;AQ189/L189;"")</f>
        <v/>
      </c>
      <c r="AS189" s="3">
        <f>IF(K189&gt;0;AQ189/K189;"")</f>
        <v/>
      </c>
      <c r="AT189" s="2">
        <f>L189-K189-AL189-AE189-IF(AM189&gt;0;AM189;'_Настройки'!$B$9)-AP189-AC189</f>
        <v/>
      </c>
      <c r="AU189" s="3">
        <f>IF(L189&gt;0;AT189/L189;"")</f>
        <v/>
      </c>
      <c r="AV189" s="3">
        <f>IF(K189&gt;0;AT189/K189;"")</f>
        <v/>
      </c>
    </row>
    <row r="190">
      <c r="A190">
        <f>ROW()-1</f>
        <v/>
      </c>
      <c r="K190" s="2">
        <f>IFERROR(INDEX('_Цены_закупки'!$B:$B;MATCH(C190;'_Цены_закупки'!$A:$A;0));"")</f>
        <v/>
      </c>
      <c r="L190" s="2" t="n"/>
      <c r="M190" s="2" t="n"/>
      <c r="N190" s="3">
        <f>IF(AND(M190&gt;0;L190&gt;0);1-L190/M190;"")</f>
        <v/>
      </c>
      <c r="O190" s="2">
        <f>IF(OR(Q190="";K190=0);"";(K190+IF(AM190&gt;0;AM190;'_Настройки'!$B$9)+AP190+AC190+Q190*K190)/(1-AH190-AD190))</f>
        <v/>
      </c>
      <c r="P190" s="2">
        <f>IF(O190="";"";O190-K190-O190*AH190-O190*AD190-IF(AM190&gt;0;AM190;'_Настройки'!$B$9)-AP190-AC190)</f>
        <v/>
      </c>
      <c r="Q190" s="3">
        <f>IF(AND(O190&gt;0;K190&gt;0);P190/K190;"")</f>
        <v/>
      </c>
      <c r="R190" s="2">
        <f>IF(O190="";"";O190-K190-O190*AK190-O190*AD190-IF(AM190&gt;0;AM190;'_Настройки'!$B$9)-AP190-AC190)</f>
        <v/>
      </c>
      <c r="S190" s="3">
        <f>IF(AND(O190&gt;0;K190&gt;0);R190/K190;"")</f>
        <v/>
      </c>
      <c r="T190" s="2" t="n"/>
      <c r="U190" s="3">
        <f>IF(AND(L190&gt;0;T190&gt;0);1-T190/L190;"")</f>
        <v/>
      </c>
      <c r="V190" s="3">
        <f>'_Настройки'!$B$4</f>
        <v/>
      </c>
      <c r="Z190" s="4">
        <f>IF(AND(W190&gt;0;X190&gt;0;Y190&gt;0);W190*X190*Y190/1000;"")</f>
        <v/>
      </c>
      <c r="AB190" s="2">
        <f>('_Настройки'!$B$6+MAX(0;Z190-1)*'_Настройки'!$B$7)*IF(AA190&gt;0;AA190;'_Настройки'!$B$10)</f>
        <v/>
      </c>
      <c r="AC190" s="2">
        <f>AB190*(1+'_Настройки'!$B$8)</f>
        <v/>
      </c>
      <c r="AD190" s="3">
        <f>'_Настройки'!$B$2</f>
        <v/>
      </c>
      <c r="AE190" s="2">
        <f>L190*AD190</f>
        <v/>
      </c>
      <c r="AF190" s="3">
        <f>'_Настройки'!$B$3</f>
        <v/>
      </c>
      <c r="AG190" s="3">
        <f>IFERROR(INDEX('_Комиссия_ВБ'!$B:$B;MATCH(C190;'_Комиссия_ВБ'!$A:$A;0));0,245)</f>
        <v/>
      </c>
      <c r="AH190" s="3">
        <f>AG190+AF190</f>
        <v/>
      </c>
      <c r="AI190" s="2">
        <f>L190*AH190</f>
        <v/>
      </c>
      <c r="AJ190" s="3">
        <f>IFERROR(INDEX('_Комиссия_ВБ'!$C:$C;MATCH(C190;'_Комиссия_ВБ'!$A:$A;0));0,28)</f>
        <v/>
      </c>
      <c r="AK190" s="3">
        <f>AJ190+AF190</f>
        <v/>
      </c>
      <c r="AL190" s="2">
        <f>L190*AK190</f>
        <v/>
      </c>
      <c r="AM190" s="2" t="n"/>
      <c r="AO190" s="3">
        <f>'_Настройки'!$B$5</f>
        <v/>
      </c>
      <c r="AP190" s="2">
        <f>IF(K190&gt;0;K190*AO190;0)</f>
        <v/>
      </c>
      <c r="AQ190" s="2">
        <f>L190-K190-AI190-AE190-IF(AM190&gt;0;AM190;'_Настройки'!$B$9)-AP190-AC190</f>
        <v/>
      </c>
      <c r="AR190" s="3">
        <f>IF(L190&gt;0;AQ190/L190;"")</f>
        <v/>
      </c>
      <c r="AS190" s="3">
        <f>IF(K190&gt;0;AQ190/K190;"")</f>
        <v/>
      </c>
      <c r="AT190" s="2">
        <f>L190-K190-AL190-AE190-IF(AM190&gt;0;AM190;'_Настройки'!$B$9)-AP190-AC190</f>
        <v/>
      </c>
      <c r="AU190" s="3">
        <f>IF(L190&gt;0;AT190/L190;"")</f>
        <v/>
      </c>
      <c r="AV190" s="3">
        <f>IF(K190&gt;0;AT190/K190;"")</f>
        <v/>
      </c>
    </row>
    <row r="191">
      <c r="A191">
        <f>ROW()-1</f>
        <v/>
      </c>
      <c r="K191" s="2">
        <f>IFERROR(INDEX('_Цены_закупки'!$B:$B;MATCH(C191;'_Цены_закупки'!$A:$A;0));"")</f>
        <v/>
      </c>
      <c r="L191" s="2" t="n"/>
      <c r="M191" s="2" t="n"/>
      <c r="N191" s="3">
        <f>IF(AND(M191&gt;0;L191&gt;0);1-L191/M191;"")</f>
        <v/>
      </c>
      <c r="O191" s="2">
        <f>IF(OR(Q191="";K191=0);"";(K191+IF(AM191&gt;0;AM191;'_Настройки'!$B$9)+AP191+AC191+Q191*K191)/(1-AH191-AD191))</f>
        <v/>
      </c>
      <c r="P191" s="2">
        <f>IF(O191="";"";O191-K191-O191*AH191-O191*AD191-IF(AM191&gt;0;AM191;'_Настройки'!$B$9)-AP191-AC191)</f>
        <v/>
      </c>
      <c r="Q191" s="3">
        <f>IF(AND(O191&gt;0;K191&gt;0);P191/K191;"")</f>
        <v/>
      </c>
      <c r="R191" s="2">
        <f>IF(O191="";"";O191-K191-O191*AK191-O191*AD191-IF(AM191&gt;0;AM191;'_Настройки'!$B$9)-AP191-AC191)</f>
        <v/>
      </c>
      <c r="S191" s="3">
        <f>IF(AND(O191&gt;0;K191&gt;0);R191/K191;"")</f>
        <v/>
      </c>
      <c r="T191" s="2" t="n"/>
      <c r="U191" s="3">
        <f>IF(AND(L191&gt;0;T191&gt;0);1-T191/L191;"")</f>
        <v/>
      </c>
      <c r="V191" s="3">
        <f>'_Настройки'!$B$4</f>
        <v/>
      </c>
      <c r="Z191" s="4">
        <f>IF(AND(W191&gt;0;X191&gt;0;Y191&gt;0);W191*X191*Y191/1000;"")</f>
        <v/>
      </c>
      <c r="AB191" s="2">
        <f>('_Настройки'!$B$6+MAX(0;Z191-1)*'_Настройки'!$B$7)*IF(AA191&gt;0;AA191;'_Настройки'!$B$10)</f>
        <v/>
      </c>
      <c r="AC191" s="2">
        <f>AB191*(1+'_Настройки'!$B$8)</f>
        <v/>
      </c>
      <c r="AD191" s="3">
        <f>'_Настройки'!$B$2</f>
        <v/>
      </c>
      <c r="AE191" s="2">
        <f>L191*AD191</f>
        <v/>
      </c>
      <c r="AF191" s="3">
        <f>'_Настройки'!$B$3</f>
        <v/>
      </c>
      <c r="AG191" s="3">
        <f>IFERROR(INDEX('_Комиссия_ВБ'!$B:$B;MATCH(C191;'_Комиссия_ВБ'!$A:$A;0));0,245)</f>
        <v/>
      </c>
      <c r="AH191" s="3">
        <f>AG191+AF191</f>
        <v/>
      </c>
      <c r="AI191" s="2">
        <f>L191*AH191</f>
        <v/>
      </c>
      <c r="AJ191" s="3">
        <f>IFERROR(INDEX('_Комиссия_ВБ'!$C:$C;MATCH(C191;'_Комиссия_ВБ'!$A:$A;0));0,28)</f>
        <v/>
      </c>
      <c r="AK191" s="3">
        <f>AJ191+AF191</f>
        <v/>
      </c>
      <c r="AL191" s="2">
        <f>L191*AK191</f>
        <v/>
      </c>
      <c r="AM191" s="2" t="n"/>
      <c r="AO191" s="3">
        <f>'_Настройки'!$B$5</f>
        <v/>
      </c>
      <c r="AP191" s="2">
        <f>IF(K191&gt;0;K191*AO191;0)</f>
        <v/>
      </c>
      <c r="AQ191" s="2">
        <f>L191-K191-AI191-AE191-IF(AM191&gt;0;AM191;'_Настройки'!$B$9)-AP191-AC191</f>
        <v/>
      </c>
      <c r="AR191" s="3">
        <f>IF(L191&gt;0;AQ191/L191;"")</f>
        <v/>
      </c>
      <c r="AS191" s="3">
        <f>IF(K191&gt;0;AQ191/K191;"")</f>
        <v/>
      </c>
      <c r="AT191" s="2">
        <f>L191-K191-AL191-AE191-IF(AM191&gt;0;AM191;'_Настройки'!$B$9)-AP191-AC191</f>
        <v/>
      </c>
      <c r="AU191" s="3">
        <f>IF(L191&gt;0;AT191/L191;"")</f>
        <v/>
      </c>
      <c r="AV191" s="3">
        <f>IF(K191&gt;0;AT191/K191;"")</f>
        <v/>
      </c>
    </row>
    <row r="192">
      <c r="A192">
        <f>ROW()-1</f>
        <v/>
      </c>
      <c r="K192" s="2">
        <f>IFERROR(INDEX('_Цены_закупки'!$B:$B;MATCH(C192;'_Цены_закупки'!$A:$A;0));"")</f>
        <v/>
      </c>
      <c r="L192" s="2" t="n"/>
      <c r="M192" s="2" t="n"/>
      <c r="N192" s="3">
        <f>IF(AND(M192&gt;0;L192&gt;0);1-L192/M192;"")</f>
        <v/>
      </c>
      <c r="O192" s="2">
        <f>IF(OR(Q192="";K192=0);"";(K192+IF(AM192&gt;0;AM192;'_Настройки'!$B$9)+AP192+AC192+Q192*K192)/(1-AH192-AD192))</f>
        <v/>
      </c>
      <c r="P192" s="2">
        <f>IF(O192="";"";O192-K192-O192*AH192-O192*AD192-IF(AM192&gt;0;AM192;'_Настройки'!$B$9)-AP192-AC192)</f>
        <v/>
      </c>
      <c r="Q192" s="3">
        <f>IF(AND(O192&gt;0;K192&gt;0);P192/K192;"")</f>
        <v/>
      </c>
      <c r="R192" s="2">
        <f>IF(O192="";"";O192-K192-O192*AK192-O192*AD192-IF(AM192&gt;0;AM192;'_Настройки'!$B$9)-AP192-AC192)</f>
        <v/>
      </c>
      <c r="S192" s="3">
        <f>IF(AND(O192&gt;0;K192&gt;0);R192/K192;"")</f>
        <v/>
      </c>
      <c r="T192" s="2" t="n"/>
      <c r="U192" s="3">
        <f>IF(AND(L192&gt;0;T192&gt;0);1-T192/L192;"")</f>
        <v/>
      </c>
      <c r="V192" s="3">
        <f>'_Настройки'!$B$4</f>
        <v/>
      </c>
      <c r="Z192" s="4">
        <f>IF(AND(W192&gt;0;X192&gt;0;Y192&gt;0);W192*X192*Y192/1000;"")</f>
        <v/>
      </c>
      <c r="AB192" s="2">
        <f>('_Настройки'!$B$6+MAX(0;Z192-1)*'_Настройки'!$B$7)*IF(AA192&gt;0;AA192;'_Настройки'!$B$10)</f>
        <v/>
      </c>
      <c r="AC192" s="2">
        <f>AB192*(1+'_Настройки'!$B$8)</f>
        <v/>
      </c>
      <c r="AD192" s="3">
        <f>'_Настройки'!$B$2</f>
        <v/>
      </c>
      <c r="AE192" s="2">
        <f>L192*AD192</f>
        <v/>
      </c>
      <c r="AF192" s="3">
        <f>'_Настройки'!$B$3</f>
        <v/>
      </c>
      <c r="AG192" s="3">
        <f>IFERROR(INDEX('_Комиссия_ВБ'!$B:$B;MATCH(C192;'_Комиссия_ВБ'!$A:$A;0));0,245)</f>
        <v/>
      </c>
      <c r="AH192" s="3">
        <f>AG192+AF192</f>
        <v/>
      </c>
      <c r="AI192" s="2">
        <f>L192*AH192</f>
        <v/>
      </c>
      <c r="AJ192" s="3">
        <f>IFERROR(INDEX('_Комиссия_ВБ'!$C:$C;MATCH(C192;'_Комиссия_ВБ'!$A:$A;0));0,28)</f>
        <v/>
      </c>
      <c r="AK192" s="3">
        <f>AJ192+AF192</f>
        <v/>
      </c>
      <c r="AL192" s="2">
        <f>L192*AK192</f>
        <v/>
      </c>
      <c r="AM192" s="2" t="n"/>
      <c r="AO192" s="3">
        <f>'_Настройки'!$B$5</f>
        <v/>
      </c>
      <c r="AP192" s="2">
        <f>IF(K192&gt;0;K192*AO192;0)</f>
        <v/>
      </c>
      <c r="AQ192" s="2">
        <f>L192-K192-AI192-AE192-IF(AM192&gt;0;AM192;'_Настройки'!$B$9)-AP192-AC192</f>
        <v/>
      </c>
      <c r="AR192" s="3">
        <f>IF(L192&gt;0;AQ192/L192;"")</f>
        <v/>
      </c>
      <c r="AS192" s="3">
        <f>IF(K192&gt;0;AQ192/K192;"")</f>
        <v/>
      </c>
      <c r="AT192" s="2">
        <f>L192-K192-AL192-AE192-IF(AM192&gt;0;AM192;'_Настройки'!$B$9)-AP192-AC192</f>
        <v/>
      </c>
      <c r="AU192" s="3">
        <f>IF(L192&gt;0;AT192/L192;"")</f>
        <v/>
      </c>
      <c r="AV192" s="3">
        <f>IF(K192&gt;0;AT192/K192;"")</f>
        <v/>
      </c>
    </row>
    <row r="193">
      <c r="A193">
        <f>ROW()-1</f>
        <v/>
      </c>
      <c r="K193" s="2">
        <f>IFERROR(INDEX('_Цены_закупки'!$B:$B;MATCH(C193;'_Цены_закупки'!$A:$A;0));"")</f>
        <v/>
      </c>
      <c r="L193" s="2" t="n"/>
      <c r="M193" s="2" t="n"/>
      <c r="N193" s="3">
        <f>IF(AND(M193&gt;0;L193&gt;0);1-L193/M193;"")</f>
        <v/>
      </c>
      <c r="O193" s="2">
        <f>IF(OR(Q193="";K193=0);"";(K193+IF(AM193&gt;0;AM193;'_Настройки'!$B$9)+AP193+AC193+Q193*K193)/(1-AH193-AD193))</f>
        <v/>
      </c>
      <c r="P193" s="2">
        <f>IF(O193="";"";O193-K193-O193*AH193-O193*AD193-IF(AM193&gt;0;AM193;'_Настройки'!$B$9)-AP193-AC193)</f>
        <v/>
      </c>
      <c r="Q193" s="3">
        <f>IF(AND(O193&gt;0;K193&gt;0);P193/K193;"")</f>
        <v/>
      </c>
      <c r="R193" s="2">
        <f>IF(O193="";"";O193-K193-O193*AK193-O193*AD193-IF(AM193&gt;0;AM193;'_Настройки'!$B$9)-AP193-AC193)</f>
        <v/>
      </c>
      <c r="S193" s="3">
        <f>IF(AND(O193&gt;0;K193&gt;0);R193/K193;"")</f>
        <v/>
      </c>
      <c r="T193" s="2" t="n"/>
      <c r="U193" s="3">
        <f>IF(AND(L193&gt;0;T193&gt;0);1-T193/L193;"")</f>
        <v/>
      </c>
      <c r="V193" s="3">
        <f>'_Настройки'!$B$4</f>
        <v/>
      </c>
      <c r="Z193" s="4">
        <f>IF(AND(W193&gt;0;X193&gt;0;Y193&gt;0);W193*X193*Y193/1000;"")</f>
        <v/>
      </c>
      <c r="AB193" s="2">
        <f>('_Настройки'!$B$6+MAX(0;Z193-1)*'_Настройки'!$B$7)*IF(AA193&gt;0;AA193;'_Настройки'!$B$10)</f>
        <v/>
      </c>
      <c r="AC193" s="2">
        <f>AB193*(1+'_Настройки'!$B$8)</f>
        <v/>
      </c>
      <c r="AD193" s="3">
        <f>'_Настройки'!$B$2</f>
        <v/>
      </c>
      <c r="AE193" s="2">
        <f>L193*AD193</f>
        <v/>
      </c>
      <c r="AF193" s="3">
        <f>'_Настройки'!$B$3</f>
        <v/>
      </c>
      <c r="AG193" s="3">
        <f>IFERROR(INDEX('_Комиссия_ВБ'!$B:$B;MATCH(C193;'_Комиссия_ВБ'!$A:$A;0));0,245)</f>
        <v/>
      </c>
      <c r="AH193" s="3">
        <f>AG193+AF193</f>
        <v/>
      </c>
      <c r="AI193" s="2">
        <f>L193*AH193</f>
        <v/>
      </c>
      <c r="AJ193" s="3">
        <f>IFERROR(INDEX('_Комиссия_ВБ'!$C:$C;MATCH(C193;'_Комиссия_ВБ'!$A:$A;0));0,28)</f>
        <v/>
      </c>
      <c r="AK193" s="3">
        <f>AJ193+AF193</f>
        <v/>
      </c>
      <c r="AL193" s="2">
        <f>L193*AK193</f>
        <v/>
      </c>
      <c r="AM193" s="2" t="n"/>
      <c r="AO193" s="3">
        <f>'_Настройки'!$B$5</f>
        <v/>
      </c>
      <c r="AP193" s="2">
        <f>IF(K193&gt;0;K193*AO193;0)</f>
        <v/>
      </c>
      <c r="AQ193" s="2">
        <f>L193-K193-AI193-AE193-IF(AM193&gt;0;AM193;'_Настройки'!$B$9)-AP193-AC193</f>
        <v/>
      </c>
      <c r="AR193" s="3">
        <f>IF(L193&gt;0;AQ193/L193;"")</f>
        <v/>
      </c>
      <c r="AS193" s="3">
        <f>IF(K193&gt;0;AQ193/K193;"")</f>
        <v/>
      </c>
      <c r="AT193" s="2">
        <f>L193-K193-AL193-AE193-IF(AM193&gt;0;AM193;'_Настройки'!$B$9)-AP193-AC193</f>
        <v/>
      </c>
      <c r="AU193" s="3">
        <f>IF(L193&gt;0;AT193/L193;"")</f>
        <v/>
      </c>
      <c r="AV193" s="3">
        <f>IF(K193&gt;0;AT193/K193;"")</f>
        <v/>
      </c>
    </row>
    <row r="194">
      <c r="A194">
        <f>ROW()-1</f>
        <v/>
      </c>
      <c r="K194" s="2">
        <f>IFERROR(INDEX('_Цены_закупки'!$B:$B;MATCH(C194;'_Цены_закупки'!$A:$A;0));"")</f>
        <v/>
      </c>
      <c r="L194" s="2" t="n"/>
      <c r="M194" s="2" t="n"/>
      <c r="N194" s="3">
        <f>IF(AND(M194&gt;0;L194&gt;0);1-L194/M194;"")</f>
        <v/>
      </c>
      <c r="O194" s="2">
        <f>IF(OR(Q194="";K194=0);"";(K194+IF(AM194&gt;0;AM194;'_Настройки'!$B$9)+AP194+AC194+Q194*K194)/(1-AH194-AD194))</f>
        <v/>
      </c>
      <c r="P194" s="2">
        <f>IF(O194="";"";O194-K194-O194*AH194-O194*AD194-IF(AM194&gt;0;AM194;'_Настройки'!$B$9)-AP194-AC194)</f>
        <v/>
      </c>
      <c r="Q194" s="3">
        <f>IF(AND(O194&gt;0;K194&gt;0);P194/K194;"")</f>
        <v/>
      </c>
      <c r="R194" s="2">
        <f>IF(O194="";"";O194-K194-O194*AK194-O194*AD194-IF(AM194&gt;0;AM194;'_Настройки'!$B$9)-AP194-AC194)</f>
        <v/>
      </c>
      <c r="S194" s="3">
        <f>IF(AND(O194&gt;0;K194&gt;0);R194/K194;"")</f>
        <v/>
      </c>
      <c r="T194" s="2" t="n"/>
      <c r="U194" s="3">
        <f>IF(AND(L194&gt;0;T194&gt;0);1-T194/L194;"")</f>
        <v/>
      </c>
      <c r="V194" s="3">
        <f>'_Настройки'!$B$4</f>
        <v/>
      </c>
      <c r="Z194" s="4">
        <f>IF(AND(W194&gt;0;X194&gt;0;Y194&gt;0);W194*X194*Y194/1000;"")</f>
        <v/>
      </c>
      <c r="AB194" s="2">
        <f>('_Настройки'!$B$6+MAX(0;Z194-1)*'_Настройки'!$B$7)*IF(AA194&gt;0;AA194;'_Настройки'!$B$10)</f>
        <v/>
      </c>
      <c r="AC194" s="2">
        <f>AB194*(1+'_Настройки'!$B$8)</f>
        <v/>
      </c>
      <c r="AD194" s="3">
        <f>'_Настройки'!$B$2</f>
        <v/>
      </c>
      <c r="AE194" s="2">
        <f>L194*AD194</f>
        <v/>
      </c>
      <c r="AF194" s="3">
        <f>'_Настройки'!$B$3</f>
        <v/>
      </c>
      <c r="AG194" s="3">
        <f>IFERROR(INDEX('_Комиссия_ВБ'!$B:$B;MATCH(C194;'_Комиссия_ВБ'!$A:$A;0));0,245)</f>
        <v/>
      </c>
      <c r="AH194" s="3">
        <f>AG194+AF194</f>
        <v/>
      </c>
      <c r="AI194" s="2">
        <f>L194*AH194</f>
        <v/>
      </c>
      <c r="AJ194" s="3">
        <f>IFERROR(INDEX('_Комиссия_ВБ'!$C:$C;MATCH(C194;'_Комиссия_ВБ'!$A:$A;0));0,28)</f>
        <v/>
      </c>
      <c r="AK194" s="3">
        <f>AJ194+AF194</f>
        <v/>
      </c>
      <c r="AL194" s="2">
        <f>L194*AK194</f>
        <v/>
      </c>
      <c r="AM194" s="2" t="n"/>
      <c r="AO194" s="3">
        <f>'_Настройки'!$B$5</f>
        <v/>
      </c>
      <c r="AP194" s="2">
        <f>IF(K194&gt;0;K194*AO194;0)</f>
        <v/>
      </c>
      <c r="AQ194" s="2">
        <f>L194-K194-AI194-AE194-IF(AM194&gt;0;AM194;'_Настройки'!$B$9)-AP194-AC194</f>
        <v/>
      </c>
      <c r="AR194" s="3">
        <f>IF(L194&gt;0;AQ194/L194;"")</f>
        <v/>
      </c>
      <c r="AS194" s="3">
        <f>IF(K194&gt;0;AQ194/K194;"")</f>
        <v/>
      </c>
      <c r="AT194" s="2">
        <f>L194-K194-AL194-AE194-IF(AM194&gt;0;AM194;'_Настройки'!$B$9)-AP194-AC194</f>
        <v/>
      </c>
      <c r="AU194" s="3">
        <f>IF(L194&gt;0;AT194/L194;"")</f>
        <v/>
      </c>
      <c r="AV194" s="3">
        <f>IF(K194&gt;0;AT194/K194;"")</f>
        <v/>
      </c>
    </row>
    <row r="195">
      <c r="A195">
        <f>ROW()-1</f>
        <v/>
      </c>
      <c r="K195" s="2">
        <f>IFERROR(INDEX('_Цены_закупки'!$B:$B;MATCH(C195;'_Цены_закупки'!$A:$A;0));"")</f>
        <v/>
      </c>
      <c r="L195" s="2" t="n"/>
      <c r="M195" s="2" t="n"/>
      <c r="N195" s="3">
        <f>IF(AND(M195&gt;0;L195&gt;0);1-L195/M195;"")</f>
        <v/>
      </c>
      <c r="O195" s="2">
        <f>IF(OR(Q195="";K195=0);"";(K195+IF(AM195&gt;0;AM195;'_Настройки'!$B$9)+AP195+AC195+Q195*K195)/(1-AH195-AD195))</f>
        <v/>
      </c>
      <c r="P195" s="2">
        <f>IF(O195="";"";O195-K195-O195*AH195-O195*AD195-IF(AM195&gt;0;AM195;'_Настройки'!$B$9)-AP195-AC195)</f>
        <v/>
      </c>
      <c r="Q195" s="3">
        <f>IF(AND(O195&gt;0;K195&gt;0);P195/K195;"")</f>
        <v/>
      </c>
      <c r="R195" s="2">
        <f>IF(O195="";"";O195-K195-O195*AK195-O195*AD195-IF(AM195&gt;0;AM195;'_Настройки'!$B$9)-AP195-AC195)</f>
        <v/>
      </c>
      <c r="S195" s="3">
        <f>IF(AND(O195&gt;0;K195&gt;0);R195/K195;"")</f>
        <v/>
      </c>
      <c r="T195" s="2" t="n"/>
      <c r="U195" s="3">
        <f>IF(AND(L195&gt;0;T195&gt;0);1-T195/L195;"")</f>
        <v/>
      </c>
      <c r="V195" s="3">
        <f>'_Настройки'!$B$4</f>
        <v/>
      </c>
      <c r="Z195" s="4">
        <f>IF(AND(W195&gt;0;X195&gt;0;Y195&gt;0);W195*X195*Y195/1000;"")</f>
        <v/>
      </c>
      <c r="AB195" s="2">
        <f>('_Настройки'!$B$6+MAX(0;Z195-1)*'_Настройки'!$B$7)*IF(AA195&gt;0;AA195;'_Настройки'!$B$10)</f>
        <v/>
      </c>
      <c r="AC195" s="2">
        <f>AB195*(1+'_Настройки'!$B$8)</f>
        <v/>
      </c>
      <c r="AD195" s="3">
        <f>'_Настройки'!$B$2</f>
        <v/>
      </c>
      <c r="AE195" s="2">
        <f>L195*AD195</f>
        <v/>
      </c>
      <c r="AF195" s="3">
        <f>'_Настройки'!$B$3</f>
        <v/>
      </c>
      <c r="AG195" s="3">
        <f>IFERROR(INDEX('_Комиссия_ВБ'!$B:$B;MATCH(C195;'_Комиссия_ВБ'!$A:$A;0));0,245)</f>
        <v/>
      </c>
      <c r="AH195" s="3">
        <f>AG195+AF195</f>
        <v/>
      </c>
      <c r="AI195" s="2">
        <f>L195*AH195</f>
        <v/>
      </c>
      <c r="AJ195" s="3">
        <f>IFERROR(INDEX('_Комиссия_ВБ'!$C:$C;MATCH(C195;'_Комиссия_ВБ'!$A:$A;0));0,28)</f>
        <v/>
      </c>
      <c r="AK195" s="3">
        <f>AJ195+AF195</f>
        <v/>
      </c>
      <c r="AL195" s="2">
        <f>L195*AK195</f>
        <v/>
      </c>
      <c r="AM195" s="2" t="n"/>
      <c r="AO195" s="3">
        <f>'_Настройки'!$B$5</f>
        <v/>
      </c>
      <c r="AP195" s="2">
        <f>IF(K195&gt;0;K195*AO195;0)</f>
        <v/>
      </c>
      <c r="AQ195" s="2">
        <f>L195-K195-AI195-AE195-IF(AM195&gt;0;AM195;'_Настройки'!$B$9)-AP195-AC195</f>
        <v/>
      </c>
      <c r="AR195" s="3">
        <f>IF(L195&gt;0;AQ195/L195;"")</f>
        <v/>
      </c>
      <c r="AS195" s="3">
        <f>IF(K195&gt;0;AQ195/K195;"")</f>
        <v/>
      </c>
      <c r="AT195" s="2">
        <f>L195-K195-AL195-AE195-IF(AM195&gt;0;AM195;'_Настройки'!$B$9)-AP195-AC195</f>
        <v/>
      </c>
      <c r="AU195" s="3">
        <f>IF(L195&gt;0;AT195/L195;"")</f>
        <v/>
      </c>
      <c r="AV195" s="3">
        <f>IF(K195&gt;0;AT195/K195;"")</f>
        <v/>
      </c>
    </row>
    <row r="196">
      <c r="A196">
        <f>ROW()-1</f>
        <v/>
      </c>
      <c r="K196" s="2">
        <f>IFERROR(INDEX('_Цены_закупки'!$B:$B;MATCH(C196;'_Цены_закупки'!$A:$A;0));"")</f>
        <v/>
      </c>
      <c r="L196" s="2" t="n"/>
      <c r="M196" s="2" t="n"/>
      <c r="N196" s="3">
        <f>IF(AND(M196&gt;0;L196&gt;0);1-L196/M196;"")</f>
        <v/>
      </c>
      <c r="O196" s="2">
        <f>IF(OR(Q196="";K196=0);"";(K196+IF(AM196&gt;0;AM196;'_Настройки'!$B$9)+AP196+AC196+Q196*K196)/(1-AH196-AD196))</f>
        <v/>
      </c>
      <c r="P196" s="2">
        <f>IF(O196="";"";O196-K196-O196*AH196-O196*AD196-IF(AM196&gt;0;AM196;'_Настройки'!$B$9)-AP196-AC196)</f>
        <v/>
      </c>
      <c r="Q196" s="3">
        <f>IF(AND(O196&gt;0;K196&gt;0);P196/K196;"")</f>
        <v/>
      </c>
      <c r="R196" s="2">
        <f>IF(O196="";"";O196-K196-O196*AK196-O196*AD196-IF(AM196&gt;0;AM196;'_Настройки'!$B$9)-AP196-AC196)</f>
        <v/>
      </c>
      <c r="S196" s="3">
        <f>IF(AND(O196&gt;0;K196&gt;0);R196/K196;"")</f>
        <v/>
      </c>
      <c r="T196" s="2" t="n"/>
      <c r="U196" s="3">
        <f>IF(AND(L196&gt;0;T196&gt;0);1-T196/L196;"")</f>
        <v/>
      </c>
      <c r="V196" s="3">
        <f>'_Настройки'!$B$4</f>
        <v/>
      </c>
      <c r="Z196" s="4">
        <f>IF(AND(W196&gt;0;X196&gt;0;Y196&gt;0);W196*X196*Y196/1000;"")</f>
        <v/>
      </c>
      <c r="AB196" s="2">
        <f>('_Настройки'!$B$6+MAX(0;Z196-1)*'_Настройки'!$B$7)*IF(AA196&gt;0;AA196;'_Настройки'!$B$10)</f>
        <v/>
      </c>
      <c r="AC196" s="2">
        <f>AB196*(1+'_Настройки'!$B$8)</f>
        <v/>
      </c>
      <c r="AD196" s="3">
        <f>'_Настройки'!$B$2</f>
        <v/>
      </c>
      <c r="AE196" s="2">
        <f>L196*AD196</f>
        <v/>
      </c>
      <c r="AF196" s="3">
        <f>'_Настройки'!$B$3</f>
        <v/>
      </c>
      <c r="AG196" s="3">
        <f>IFERROR(INDEX('_Комиссия_ВБ'!$B:$B;MATCH(C196;'_Комиссия_ВБ'!$A:$A;0));0,245)</f>
        <v/>
      </c>
      <c r="AH196" s="3">
        <f>AG196+AF196</f>
        <v/>
      </c>
      <c r="AI196" s="2">
        <f>L196*AH196</f>
        <v/>
      </c>
      <c r="AJ196" s="3">
        <f>IFERROR(INDEX('_Комиссия_ВБ'!$C:$C;MATCH(C196;'_Комиссия_ВБ'!$A:$A;0));0,28)</f>
        <v/>
      </c>
      <c r="AK196" s="3">
        <f>AJ196+AF196</f>
        <v/>
      </c>
      <c r="AL196" s="2">
        <f>L196*AK196</f>
        <v/>
      </c>
      <c r="AM196" s="2" t="n"/>
      <c r="AO196" s="3">
        <f>'_Настройки'!$B$5</f>
        <v/>
      </c>
      <c r="AP196" s="2">
        <f>IF(K196&gt;0;K196*AO196;0)</f>
        <v/>
      </c>
      <c r="AQ196" s="2">
        <f>L196-K196-AI196-AE196-IF(AM196&gt;0;AM196;'_Настройки'!$B$9)-AP196-AC196</f>
        <v/>
      </c>
      <c r="AR196" s="3">
        <f>IF(L196&gt;0;AQ196/L196;"")</f>
        <v/>
      </c>
      <c r="AS196" s="3">
        <f>IF(K196&gt;0;AQ196/K196;"")</f>
        <v/>
      </c>
      <c r="AT196" s="2">
        <f>L196-K196-AL196-AE196-IF(AM196&gt;0;AM196;'_Настройки'!$B$9)-AP196-AC196</f>
        <v/>
      </c>
      <c r="AU196" s="3">
        <f>IF(L196&gt;0;AT196/L196;"")</f>
        <v/>
      </c>
      <c r="AV196" s="3">
        <f>IF(K196&gt;0;AT196/K196;"")</f>
        <v/>
      </c>
    </row>
    <row r="197">
      <c r="A197">
        <f>ROW()-1</f>
        <v/>
      </c>
      <c r="K197" s="2">
        <f>IFERROR(INDEX('_Цены_закупки'!$B:$B;MATCH(C197;'_Цены_закупки'!$A:$A;0));"")</f>
        <v/>
      </c>
      <c r="L197" s="2" t="n"/>
      <c r="M197" s="2" t="n"/>
      <c r="N197" s="3">
        <f>IF(AND(M197&gt;0;L197&gt;0);1-L197/M197;"")</f>
        <v/>
      </c>
      <c r="O197" s="2">
        <f>IF(OR(Q197="";K197=0);"";(K197+IF(AM197&gt;0;AM197;'_Настройки'!$B$9)+AP197+AC197+Q197*K197)/(1-AH197-AD197))</f>
        <v/>
      </c>
      <c r="P197" s="2">
        <f>IF(O197="";"";O197-K197-O197*AH197-O197*AD197-IF(AM197&gt;0;AM197;'_Настройки'!$B$9)-AP197-AC197)</f>
        <v/>
      </c>
      <c r="Q197" s="3">
        <f>IF(AND(O197&gt;0;K197&gt;0);P197/K197;"")</f>
        <v/>
      </c>
      <c r="R197" s="2">
        <f>IF(O197="";"";O197-K197-O197*AK197-O197*AD197-IF(AM197&gt;0;AM197;'_Настройки'!$B$9)-AP197-AC197)</f>
        <v/>
      </c>
      <c r="S197" s="3">
        <f>IF(AND(O197&gt;0;K197&gt;0);R197/K197;"")</f>
        <v/>
      </c>
      <c r="T197" s="2" t="n"/>
      <c r="U197" s="3">
        <f>IF(AND(L197&gt;0;T197&gt;0);1-T197/L197;"")</f>
        <v/>
      </c>
      <c r="V197" s="3">
        <f>'_Настройки'!$B$4</f>
        <v/>
      </c>
      <c r="Z197" s="4">
        <f>IF(AND(W197&gt;0;X197&gt;0;Y197&gt;0);W197*X197*Y197/1000;"")</f>
        <v/>
      </c>
      <c r="AB197" s="2">
        <f>('_Настройки'!$B$6+MAX(0;Z197-1)*'_Настройки'!$B$7)*IF(AA197&gt;0;AA197;'_Настройки'!$B$10)</f>
        <v/>
      </c>
      <c r="AC197" s="2">
        <f>AB197*(1+'_Настройки'!$B$8)</f>
        <v/>
      </c>
      <c r="AD197" s="3">
        <f>'_Настройки'!$B$2</f>
        <v/>
      </c>
      <c r="AE197" s="2">
        <f>L197*AD197</f>
        <v/>
      </c>
      <c r="AF197" s="3">
        <f>'_Настройки'!$B$3</f>
        <v/>
      </c>
      <c r="AG197" s="3">
        <f>IFERROR(INDEX('_Комиссия_ВБ'!$B:$B;MATCH(C197;'_Комиссия_ВБ'!$A:$A;0));0,245)</f>
        <v/>
      </c>
      <c r="AH197" s="3">
        <f>AG197+AF197</f>
        <v/>
      </c>
      <c r="AI197" s="2">
        <f>L197*AH197</f>
        <v/>
      </c>
      <c r="AJ197" s="3">
        <f>IFERROR(INDEX('_Комиссия_ВБ'!$C:$C;MATCH(C197;'_Комиссия_ВБ'!$A:$A;0));0,28)</f>
        <v/>
      </c>
      <c r="AK197" s="3">
        <f>AJ197+AF197</f>
        <v/>
      </c>
      <c r="AL197" s="2">
        <f>L197*AK197</f>
        <v/>
      </c>
      <c r="AM197" s="2" t="n"/>
      <c r="AO197" s="3">
        <f>'_Настройки'!$B$5</f>
        <v/>
      </c>
      <c r="AP197" s="2">
        <f>IF(K197&gt;0;K197*AO197;0)</f>
        <v/>
      </c>
      <c r="AQ197" s="2">
        <f>L197-K197-AI197-AE197-IF(AM197&gt;0;AM197;'_Настройки'!$B$9)-AP197-AC197</f>
        <v/>
      </c>
      <c r="AR197" s="3">
        <f>IF(L197&gt;0;AQ197/L197;"")</f>
        <v/>
      </c>
      <c r="AS197" s="3">
        <f>IF(K197&gt;0;AQ197/K197;"")</f>
        <v/>
      </c>
      <c r="AT197" s="2">
        <f>L197-K197-AL197-AE197-IF(AM197&gt;0;AM197;'_Настройки'!$B$9)-AP197-AC197</f>
        <v/>
      </c>
      <c r="AU197" s="3">
        <f>IF(L197&gt;0;AT197/L197;"")</f>
        <v/>
      </c>
      <c r="AV197" s="3">
        <f>IF(K197&gt;0;AT197/K197;"")</f>
        <v/>
      </c>
    </row>
    <row r="198">
      <c r="A198">
        <f>ROW()-1</f>
        <v/>
      </c>
      <c r="K198" s="2">
        <f>IFERROR(INDEX('_Цены_закупки'!$B:$B;MATCH(C198;'_Цены_закупки'!$A:$A;0));"")</f>
        <v/>
      </c>
      <c r="L198" s="2" t="n"/>
      <c r="M198" s="2" t="n"/>
      <c r="N198" s="3">
        <f>IF(AND(M198&gt;0;L198&gt;0);1-L198/M198;"")</f>
        <v/>
      </c>
      <c r="O198" s="2">
        <f>IF(OR(Q198="";K198=0);"";(K198+IF(AM198&gt;0;AM198;'_Настройки'!$B$9)+AP198+AC198+Q198*K198)/(1-AH198-AD198))</f>
        <v/>
      </c>
      <c r="P198" s="2">
        <f>IF(O198="";"";O198-K198-O198*AH198-O198*AD198-IF(AM198&gt;0;AM198;'_Настройки'!$B$9)-AP198-AC198)</f>
        <v/>
      </c>
      <c r="Q198" s="3">
        <f>IF(AND(O198&gt;0;K198&gt;0);P198/K198;"")</f>
        <v/>
      </c>
      <c r="R198" s="2">
        <f>IF(O198="";"";O198-K198-O198*AK198-O198*AD198-IF(AM198&gt;0;AM198;'_Настройки'!$B$9)-AP198-AC198)</f>
        <v/>
      </c>
      <c r="S198" s="3">
        <f>IF(AND(O198&gt;0;K198&gt;0);R198/K198;"")</f>
        <v/>
      </c>
      <c r="T198" s="2" t="n"/>
      <c r="U198" s="3">
        <f>IF(AND(L198&gt;0;T198&gt;0);1-T198/L198;"")</f>
        <v/>
      </c>
      <c r="V198" s="3">
        <f>'_Настройки'!$B$4</f>
        <v/>
      </c>
      <c r="Z198" s="4">
        <f>IF(AND(W198&gt;0;X198&gt;0;Y198&gt;0);W198*X198*Y198/1000;"")</f>
        <v/>
      </c>
      <c r="AB198" s="2">
        <f>('_Настройки'!$B$6+MAX(0;Z198-1)*'_Настройки'!$B$7)*IF(AA198&gt;0;AA198;'_Настройки'!$B$10)</f>
        <v/>
      </c>
      <c r="AC198" s="2">
        <f>AB198*(1+'_Настройки'!$B$8)</f>
        <v/>
      </c>
      <c r="AD198" s="3">
        <f>'_Настройки'!$B$2</f>
        <v/>
      </c>
      <c r="AE198" s="2">
        <f>L198*AD198</f>
        <v/>
      </c>
      <c r="AF198" s="3">
        <f>'_Настройки'!$B$3</f>
        <v/>
      </c>
      <c r="AG198" s="3">
        <f>IFERROR(INDEX('_Комиссия_ВБ'!$B:$B;MATCH(C198;'_Комиссия_ВБ'!$A:$A;0));0,245)</f>
        <v/>
      </c>
      <c r="AH198" s="3">
        <f>AG198+AF198</f>
        <v/>
      </c>
      <c r="AI198" s="2">
        <f>L198*AH198</f>
        <v/>
      </c>
      <c r="AJ198" s="3">
        <f>IFERROR(INDEX('_Комиссия_ВБ'!$C:$C;MATCH(C198;'_Комиссия_ВБ'!$A:$A;0));0,28)</f>
        <v/>
      </c>
      <c r="AK198" s="3">
        <f>AJ198+AF198</f>
        <v/>
      </c>
      <c r="AL198" s="2">
        <f>L198*AK198</f>
        <v/>
      </c>
      <c r="AM198" s="2" t="n"/>
      <c r="AO198" s="3">
        <f>'_Настройки'!$B$5</f>
        <v/>
      </c>
      <c r="AP198" s="2">
        <f>IF(K198&gt;0;K198*AO198;0)</f>
        <v/>
      </c>
      <c r="AQ198" s="2">
        <f>L198-K198-AI198-AE198-IF(AM198&gt;0;AM198;'_Настройки'!$B$9)-AP198-AC198</f>
        <v/>
      </c>
      <c r="AR198" s="3">
        <f>IF(L198&gt;0;AQ198/L198;"")</f>
        <v/>
      </c>
      <c r="AS198" s="3">
        <f>IF(K198&gt;0;AQ198/K198;"")</f>
        <v/>
      </c>
      <c r="AT198" s="2">
        <f>L198-K198-AL198-AE198-IF(AM198&gt;0;AM198;'_Настройки'!$B$9)-AP198-AC198</f>
        <v/>
      </c>
      <c r="AU198" s="3">
        <f>IF(L198&gt;0;AT198/L198;"")</f>
        <v/>
      </c>
      <c r="AV198" s="3">
        <f>IF(K198&gt;0;AT198/K198;"")</f>
        <v/>
      </c>
    </row>
    <row r="199">
      <c r="A199">
        <f>ROW()-1</f>
        <v/>
      </c>
      <c r="K199" s="2">
        <f>IFERROR(INDEX('_Цены_закупки'!$B:$B;MATCH(C199;'_Цены_закупки'!$A:$A;0));"")</f>
        <v/>
      </c>
      <c r="L199" s="2" t="n"/>
      <c r="M199" s="2" t="n"/>
      <c r="N199" s="3">
        <f>IF(AND(M199&gt;0;L199&gt;0);1-L199/M199;"")</f>
        <v/>
      </c>
      <c r="O199" s="2">
        <f>IF(OR(Q199="";K199=0);"";(K199+IF(AM199&gt;0;AM199;'_Настройки'!$B$9)+AP199+AC199+Q199*K199)/(1-AH199-AD199))</f>
        <v/>
      </c>
      <c r="P199" s="2">
        <f>IF(O199="";"";O199-K199-O199*AH199-O199*AD199-IF(AM199&gt;0;AM199;'_Настройки'!$B$9)-AP199-AC199)</f>
        <v/>
      </c>
      <c r="Q199" s="3">
        <f>IF(AND(O199&gt;0;K199&gt;0);P199/K199;"")</f>
        <v/>
      </c>
      <c r="R199" s="2">
        <f>IF(O199="";"";O199-K199-O199*AK199-O199*AD199-IF(AM199&gt;0;AM199;'_Настройки'!$B$9)-AP199-AC199)</f>
        <v/>
      </c>
      <c r="S199" s="3">
        <f>IF(AND(O199&gt;0;K199&gt;0);R199/K199;"")</f>
        <v/>
      </c>
      <c r="T199" s="2" t="n"/>
      <c r="U199" s="3">
        <f>IF(AND(L199&gt;0;T199&gt;0);1-T199/L199;"")</f>
        <v/>
      </c>
      <c r="V199" s="3">
        <f>'_Настройки'!$B$4</f>
        <v/>
      </c>
      <c r="Z199" s="4">
        <f>IF(AND(W199&gt;0;X199&gt;0;Y199&gt;0);W199*X199*Y199/1000;"")</f>
        <v/>
      </c>
      <c r="AB199" s="2">
        <f>('_Настройки'!$B$6+MAX(0;Z199-1)*'_Настройки'!$B$7)*IF(AA199&gt;0;AA199;'_Настройки'!$B$10)</f>
        <v/>
      </c>
      <c r="AC199" s="2">
        <f>AB199*(1+'_Настройки'!$B$8)</f>
        <v/>
      </c>
      <c r="AD199" s="3">
        <f>'_Настройки'!$B$2</f>
        <v/>
      </c>
      <c r="AE199" s="2">
        <f>L199*AD199</f>
        <v/>
      </c>
      <c r="AF199" s="3">
        <f>'_Настройки'!$B$3</f>
        <v/>
      </c>
      <c r="AG199" s="3">
        <f>IFERROR(INDEX('_Комиссия_ВБ'!$B:$B;MATCH(C199;'_Комиссия_ВБ'!$A:$A;0));0,245)</f>
        <v/>
      </c>
      <c r="AH199" s="3">
        <f>AG199+AF199</f>
        <v/>
      </c>
      <c r="AI199" s="2">
        <f>L199*AH199</f>
        <v/>
      </c>
      <c r="AJ199" s="3">
        <f>IFERROR(INDEX('_Комиссия_ВБ'!$C:$C;MATCH(C199;'_Комиссия_ВБ'!$A:$A;0));0,28)</f>
        <v/>
      </c>
      <c r="AK199" s="3">
        <f>AJ199+AF199</f>
        <v/>
      </c>
      <c r="AL199" s="2">
        <f>L199*AK199</f>
        <v/>
      </c>
      <c r="AM199" s="2" t="n"/>
      <c r="AO199" s="3">
        <f>'_Настройки'!$B$5</f>
        <v/>
      </c>
      <c r="AP199" s="2">
        <f>IF(K199&gt;0;K199*AO199;0)</f>
        <v/>
      </c>
      <c r="AQ199" s="2">
        <f>L199-K199-AI199-AE199-IF(AM199&gt;0;AM199;'_Настройки'!$B$9)-AP199-AC199</f>
        <v/>
      </c>
      <c r="AR199" s="3">
        <f>IF(L199&gt;0;AQ199/L199;"")</f>
        <v/>
      </c>
      <c r="AS199" s="3">
        <f>IF(K199&gt;0;AQ199/K199;"")</f>
        <v/>
      </c>
      <c r="AT199" s="2">
        <f>L199-K199-AL199-AE199-IF(AM199&gt;0;AM199;'_Настройки'!$B$9)-AP199-AC199</f>
        <v/>
      </c>
      <c r="AU199" s="3">
        <f>IF(L199&gt;0;AT199/L199;"")</f>
        <v/>
      </c>
      <c r="AV199" s="3">
        <f>IF(K199&gt;0;AT199/K199;"")</f>
        <v/>
      </c>
    </row>
    <row r="200">
      <c r="A200">
        <f>ROW()-1</f>
        <v/>
      </c>
      <c r="K200" s="2">
        <f>IFERROR(INDEX('_Цены_закупки'!$B:$B;MATCH(C200;'_Цены_закупки'!$A:$A;0));"")</f>
        <v/>
      </c>
      <c r="L200" s="2" t="n"/>
      <c r="M200" s="2" t="n"/>
      <c r="N200" s="3">
        <f>IF(AND(M200&gt;0;L200&gt;0);1-L200/M200;"")</f>
        <v/>
      </c>
      <c r="O200" s="2">
        <f>IF(OR(Q200="";K200=0);"";(K200+IF(AM200&gt;0;AM200;'_Настройки'!$B$9)+AP200+AC200+Q200*K200)/(1-AH200-AD200))</f>
        <v/>
      </c>
      <c r="P200" s="2">
        <f>IF(O200="";"";O200-K200-O200*AH200-O200*AD200-IF(AM200&gt;0;AM200;'_Настройки'!$B$9)-AP200-AC200)</f>
        <v/>
      </c>
      <c r="Q200" s="3">
        <f>IF(AND(O200&gt;0;K200&gt;0);P200/K200;"")</f>
        <v/>
      </c>
      <c r="R200" s="2">
        <f>IF(O200="";"";O200-K200-O200*AK200-O200*AD200-IF(AM200&gt;0;AM200;'_Настройки'!$B$9)-AP200-AC200)</f>
        <v/>
      </c>
      <c r="S200" s="3">
        <f>IF(AND(O200&gt;0;K200&gt;0);R200/K200;"")</f>
        <v/>
      </c>
      <c r="T200" s="2" t="n"/>
      <c r="U200" s="3">
        <f>IF(AND(L200&gt;0;T200&gt;0);1-T200/L200;"")</f>
        <v/>
      </c>
      <c r="V200" s="3">
        <f>'_Настройки'!$B$4</f>
        <v/>
      </c>
      <c r="Z200" s="4">
        <f>IF(AND(W200&gt;0;X200&gt;0;Y200&gt;0);W200*X200*Y200/1000;"")</f>
        <v/>
      </c>
      <c r="AB200" s="2">
        <f>('_Настройки'!$B$6+MAX(0;Z200-1)*'_Настройки'!$B$7)*IF(AA200&gt;0;AA200;'_Настройки'!$B$10)</f>
        <v/>
      </c>
      <c r="AC200" s="2">
        <f>AB200*(1+'_Настройки'!$B$8)</f>
        <v/>
      </c>
      <c r="AD200" s="3">
        <f>'_Настройки'!$B$2</f>
        <v/>
      </c>
      <c r="AE200" s="2">
        <f>L200*AD200</f>
        <v/>
      </c>
      <c r="AF200" s="3">
        <f>'_Настройки'!$B$3</f>
        <v/>
      </c>
      <c r="AG200" s="3">
        <f>IFERROR(INDEX('_Комиссия_ВБ'!$B:$B;MATCH(C200;'_Комиссия_ВБ'!$A:$A;0));0,245)</f>
        <v/>
      </c>
      <c r="AH200" s="3">
        <f>AG200+AF200</f>
        <v/>
      </c>
      <c r="AI200" s="2">
        <f>L200*AH200</f>
        <v/>
      </c>
      <c r="AJ200" s="3">
        <f>IFERROR(INDEX('_Комиссия_ВБ'!$C:$C;MATCH(C200;'_Комиссия_ВБ'!$A:$A;0));0,28)</f>
        <v/>
      </c>
      <c r="AK200" s="3">
        <f>AJ200+AF200</f>
        <v/>
      </c>
      <c r="AL200" s="2">
        <f>L200*AK200</f>
        <v/>
      </c>
      <c r="AM200" s="2" t="n"/>
      <c r="AO200" s="3">
        <f>'_Настройки'!$B$5</f>
        <v/>
      </c>
      <c r="AP200" s="2">
        <f>IF(K200&gt;0;K200*AO200;0)</f>
        <v/>
      </c>
      <c r="AQ200" s="2">
        <f>L200-K200-AI200-AE200-IF(AM200&gt;0;AM200;'_Настройки'!$B$9)-AP200-AC200</f>
        <v/>
      </c>
      <c r="AR200" s="3">
        <f>IF(L200&gt;0;AQ200/L200;"")</f>
        <v/>
      </c>
      <c r="AS200" s="3">
        <f>IF(K200&gt;0;AQ200/K200;"")</f>
        <v/>
      </c>
      <c r="AT200" s="2">
        <f>L200-K200-AL200-AE200-IF(AM200&gt;0;AM200;'_Настройки'!$B$9)-AP200-AC200</f>
        <v/>
      </c>
      <c r="AU200" s="3">
        <f>IF(L200&gt;0;AT200/L200;"")</f>
        <v/>
      </c>
      <c r="AV200" s="3">
        <f>IF(K200&gt;0;AT200/K200;"")</f>
        <v/>
      </c>
    </row>
    <row r="201">
      <c r="A201">
        <f>ROW()-1</f>
        <v/>
      </c>
      <c r="K201" s="2">
        <f>IFERROR(INDEX('_Цены_закупки'!$B:$B;MATCH(C201;'_Цены_закупки'!$A:$A;0));"")</f>
        <v/>
      </c>
      <c r="L201" s="2" t="n"/>
      <c r="M201" s="2" t="n"/>
      <c r="N201" s="3">
        <f>IF(AND(M201&gt;0;L201&gt;0);1-L201/M201;"")</f>
        <v/>
      </c>
      <c r="O201" s="2">
        <f>IF(OR(Q201="";K201=0);"";(K201+IF(AM201&gt;0;AM201;'_Настройки'!$B$9)+AP201+AC201+Q201*K201)/(1-AH201-AD201))</f>
        <v/>
      </c>
      <c r="P201" s="2">
        <f>IF(O201="";"";O201-K201-O201*AH201-O201*AD201-IF(AM201&gt;0;AM201;'_Настройки'!$B$9)-AP201-AC201)</f>
        <v/>
      </c>
      <c r="Q201" s="3">
        <f>IF(AND(O201&gt;0;K201&gt;0);P201/K201;"")</f>
        <v/>
      </c>
      <c r="R201" s="2">
        <f>IF(O201="";"";O201-K201-O201*AK201-O201*AD201-IF(AM201&gt;0;AM201;'_Настройки'!$B$9)-AP201-AC201)</f>
        <v/>
      </c>
      <c r="S201" s="3">
        <f>IF(AND(O201&gt;0;K201&gt;0);R201/K201;"")</f>
        <v/>
      </c>
      <c r="T201" s="2" t="n"/>
      <c r="U201" s="3">
        <f>IF(AND(L201&gt;0;T201&gt;0);1-T201/L201;"")</f>
        <v/>
      </c>
      <c r="V201" s="3">
        <f>'_Настройки'!$B$4</f>
        <v/>
      </c>
      <c r="Z201" s="4">
        <f>IF(AND(W201&gt;0;X201&gt;0;Y201&gt;0);W201*X201*Y201/1000;"")</f>
        <v/>
      </c>
      <c r="AB201" s="2">
        <f>('_Настройки'!$B$6+MAX(0;Z201-1)*'_Настройки'!$B$7)*IF(AA201&gt;0;AA201;'_Настройки'!$B$10)</f>
        <v/>
      </c>
      <c r="AC201" s="2">
        <f>AB201*(1+'_Настройки'!$B$8)</f>
        <v/>
      </c>
      <c r="AD201" s="3">
        <f>'_Настройки'!$B$2</f>
        <v/>
      </c>
      <c r="AE201" s="2">
        <f>L201*AD201</f>
        <v/>
      </c>
      <c r="AF201" s="3">
        <f>'_Настройки'!$B$3</f>
        <v/>
      </c>
      <c r="AG201" s="3">
        <f>IFERROR(INDEX('_Комиссия_ВБ'!$B:$B;MATCH(C201;'_Комиссия_ВБ'!$A:$A;0));0,245)</f>
        <v/>
      </c>
      <c r="AH201" s="3">
        <f>AG201+AF201</f>
        <v/>
      </c>
      <c r="AI201" s="2">
        <f>L201*AH201</f>
        <v/>
      </c>
      <c r="AJ201" s="3">
        <f>IFERROR(INDEX('_Комиссия_ВБ'!$C:$C;MATCH(C201;'_Комиссия_ВБ'!$A:$A;0));0,28)</f>
        <v/>
      </c>
      <c r="AK201" s="3">
        <f>AJ201+AF201</f>
        <v/>
      </c>
      <c r="AL201" s="2">
        <f>L201*AK201</f>
        <v/>
      </c>
      <c r="AM201" s="2" t="n"/>
      <c r="AO201" s="3">
        <f>'_Настройки'!$B$5</f>
        <v/>
      </c>
      <c r="AP201" s="2">
        <f>IF(K201&gt;0;K201*AO201;0)</f>
        <v/>
      </c>
      <c r="AQ201" s="2">
        <f>L201-K201-AI201-AE201-IF(AM201&gt;0;AM201;'_Настройки'!$B$9)-AP201-AC201</f>
        <v/>
      </c>
      <c r="AR201" s="3">
        <f>IF(L201&gt;0;AQ201/L201;"")</f>
        <v/>
      </c>
      <c r="AS201" s="3">
        <f>IF(K201&gt;0;AQ201/K201;"")</f>
        <v/>
      </c>
      <c r="AT201" s="2">
        <f>L201-K201-AL201-AE201-IF(AM201&gt;0;AM201;'_Настройки'!$B$9)-AP201-AC201</f>
        <v/>
      </c>
      <c r="AU201" s="3">
        <f>IF(L201&gt;0;AT201/L201;"")</f>
        <v/>
      </c>
      <c r="AV201" s="3">
        <f>IF(K201&gt;0;AT201/K201;"")</f>
        <v/>
      </c>
    </row>
    <row r="202">
      <c r="A202">
        <f>ROW()-1</f>
        <v/>
      </c>
      <c r="K202" s="2">
        <f>IFERROR(INDEX('_Цены_закупки'!$B:$B;MATCH(C202;'_Цены_закупки'!$A:$A;0));"")</f>
        <v/>
      </c>
      <c r="L202" s="2" t="n"/>
      <c r="M202" s="2" t="n"/>
      <c r="N202" s="3">
        <f>IF(AND(M202&gt;0;L202&gt;0);1-L202/M202;"")</f>
        <v/>
      </c>
      <c r="O202" s="2">
        <f>IF(OR(Q202="";K202=0);"";(K202+IF(AM202&gt;0;AM202;'_Настройки'!$B$9)+AP202+AC202+Q202*K202)/(1-AH202-AD202))</f>
        <v/>
      </c>
      <c r="P202" s="2">
        <f>IF(O202="";"";O202-K202-O202*AH202-O202*AD202-IF(AM202&gt;0;AM202;'_Настройки'!$B$9)-AP202-AC202)</f>
        <v/>
      </c>
      <c r="Q202" s="3">
        <f>IF(AND(O202&gt;0;K202&gt;0);P202/K202;"")</f>
        <v/>
      </c>
      <c r="R202" s="2">
        <f>IF(O202="";"";O202-K202-O202*AK202-O202*AD202-IF(AM202&gt;0;AM202;'_Настройки'!$B$9)-AP202-AC202)</f>
        <v/>
      </c>
      <c r="S202" s="3">
        <f>IF(AND(O202&gt;0;K202&gt;0);R202/K202;"")</f>
        <v/>
      </c>
      <c r="T202" s="2" t="n"/>
      <c r="U202" s="3">
        <f>IF(AND(L202&gt;0;T202&gt;0);1-T202/L202;"")</f>
        <v/>
      </c>
      <c r="V202" s="3">
        <f>'_Настройки'!$B$4</f>
        <v/>
      </c>
      <c r="Z202" s="4">
        <f>IF(AND(W202&gt;0;X202&gt;0;Y202&gt;0);W202*X202*Y202/1000;"")</f>
        <v/>
      </c>
      <c r="AB202" s="2">
        <f>('_Настройки'!$B$6+MAX(0;Z202-1)*'_Настройки'!$B$7)*IF(AA202&gt;0;AA202;'_Настройки'!$B$10)</f>
        <v/>
      </c>
      <c r="AC202" s="2">
        <f>AB202*(1+'_Настройки'!$B$8)</f>
        <v/>
      </c>
      <c r="AD202" s="3">
        <f>'_Настройки'!$B$2</f>
        <v/>
      </c>
      <c r="AE202" s="2">
        <f>L202*AD202</f>
        <v/>
      </c>
      <c r="AF202" s="3">
        <f>'_Настройки'!$B$3</f>
        <v/>
      </c>
      <c r="AG202" s="3">
        <f>IFERROR(INDEX('_Комиссия_ВБ'!$B:$B;MATCH(C202;'_Комиссия_ВБ'!$A:$A;0));0,245)</f>
        <v/>
      </c>
      <c r="AH202" s="3">
        <f>AG202+AF202</f>
        <v/>
      </c>
      <c r="AI202" s="2">
        <f>L202*AH202</f>
        <v/>
      </c>
      <c r="AJ202" s="3">
        <f>IFERROR(INDEX('_Комиссия_ВБ'!$C:$C;MATCH(C202;'_Комиссия_ВБ'!$A:$A;0));0,28)</f>
        <v/>
      </c>
      <c r="AK202" s="3">
        <f>AJ202+AF202</f>
        <v/>
      </c>
      <c r="AL202" s="2">
        <f>L202*AK202</f>
        <v/>
      </c>
      <c r="AM202" s="2" t="n"/>
      <c r="AO202" s="3">
        <f>'_Настройки'!$B$5</f>
        <v/>
      </c>
      <c r="AP202" s="2">
        <f>IF(K202&gt;0;K202*AO202;0)</f>
        <v/>
      </c>
      <c r="AQ202" s="2">
        <f>L202-K202-AI202-AE202-IF(AM202&gt;0;AM202;'_Настройки'!$B$9)-AP202-AC202</f>
        <v/>
      </c>
      <c r="AR202" s="3">
        <f>IF(L202&gt;0;AQ202/L202;"")</f>
        <v/>
      </c>
      <c r="AS202" s="3">
        <f>IF(K202&gt;0;AQ202/K202;"")</f>
        <v/>
      </c>
      <c r="AT202" s="2">
        <f>L202-K202-AL202-AE202-IF(AM202&gt;0;AM202;'_Настройки'!$B$9)-AP202-AC202</f>
        <v/>
      </c>
      <c r="AU202" s="3">
        <f>IF(L202&gt;0;AT202/L202;"")</f>
        <v/>
      </c>
      <c r="AV202" s="3">
        <f>IF(K202&gt;0;AT202/K202;"")</f>
        <v/>
      </c>
    </row>
    <row r="203">
      <c r="A203">
        <f>ROW()-1</f>
        <v/>
      </c>
      <c r="K203" s="2">
        <f>IFERROR(INDEX('_Цены_закупки'!$B:$B;MATCH(C203;'_Цены_закупки'!$A:$A;0));"")</f>
        <v/>
      </c>
      <c r="L203" s="2" t="n"/>
      <c r="M203" s="2" t="n"/>
      <c r="N203" s="3">
        <f>IF(AND(M203&gt;0;L203&gt;0);1-L203/M203;"")</f>
        <v/>
      </c>
      <c r="O203" s="2">
        <f>IF(OR(Q203="";K203=0);"";(K203+IF(AM203&gt;0;AM203;'_Настройки'!$B$9)+AP203+AC203+Q203*K203)/(1-AH203-AD203))</f>
        <v/>
      </c>
      <c r="P203" s="2">
        <f>IF(O203="";"";O203-K203-O203*AH203-O203*AD203-IF(AM203&gt;0;AM203;'_Настройки'!$B$9)-AP203-AC203)</f>
        <v/>
      </c>
      <c r="Q203" s="3">
        <f>IF(AND(O203&gt;0;K203&gt;0);P203/K203;"")</f>
        <v/>
      </c>
      <c r="R203" s="2">
        <f>IF(O203="";"";O203-K203-O203*AK203-O203*AD203-IF(AM203&gt;0;AM203;'_Настройки'!$B$9)-AP203-AC203)</f>
        <v/>
      </c>
      <c r="S203" s="3">
        <f>IF(AND(O203&gt;0;K203&gt;0);R203/K203;"")</f>
        <v/>
      </c>
      <c r="T203" s="2" t="n"/>
      <c r="U203" s="3">
        <f>IF(AND(L203&gt;0;T203&gt;0);1-T203/L203;"")</f>
        <v/>
      </c>
      <c r="V203" s="3">
        <f>'_Настройки'!$B$4</f>
        <v/>
      </c>
      <c r="Z203" s="4">
        <f>IF(AND(W203&gt;0;X203&gt;0;Y203&gt;0);W203*X203*Y203/1000;"")</f>
        <v/>
      </c>
      <c r="AB203" s="2">
        <f>('_Настройки'!$B$6+MAX(0;Z203-1)*'_Настройки'!$B$7)*IF(AA203&gt;0;AA203;'_Настройки'!$B$10)</f>
        <v/>
      </c>
      <c r="AC203" s="2">
        <f>AB203*(1+'_Настройки'!$B$8)</f>
        <v/>
      </c>
      <c r="AD203" s="3">
        <f>'_Настройки'!$B$2</f>
        <v/>
      </c>
      <c r="AE203" s="2">
        <f>L203*AD203</f>
        <v/>
      </c>
      <c r="AF203" s="3">
        <f>'_Настройки'!$B$3</f>
        <v/>
      </c>
      <c r="AG203" s="3">
        <f>IFERROR(INDEX('_Комиссия_ВБ'!$B:$B;MATCH(C203;'_Комиссия_ВБ'!$A:$A;0));0,245)</f>
        <v/>
      </c>
      <c r="AH203" s="3">
        <f>AG203+AF203</f>
        <v/>
      </c>
      <c r="AI203" s="2">
        <f>L203*AH203</f>
        <v/>
      </c>
      <c r="AJ203" s="3">
        <f>IFERROR(INDEX('_Комиссия_ВБ'!$C:$C;MATCH(C203;'_Комиссия_ВБ'!$A:$A;0));0,28)</f>
        <v/>
      </c>
      <c r="AK203" s="3">
        <f>AJ203+AF203</f>
        <v/>
      </c>
      <c r="AL203" s="2">
        <f>L203*AK203</f>
        <v/>
      </c>
      <c r="AM203" s="2" t="n"/>
      <c r="AO203" s="3">
        <f>'_Настройки'!$B$5</f>
        <v/>
      </c>
      <c r="AP203" s="2">
        <f>IF(K203&gt;0;K203*AO203;0)</f>
        <v/>
      </c>
      <c r="AQ203" s="2">
        <f>L203-K203-AI203-AE203-IF(AM203&gt;0;AM203;'_Настройки'!$B$9)-AP203-AC203</f>
        <v/>
      </c>
      <c r="AR203" s="3">
        <f>IF(L203&gt;0;AQ203/L203;"")</f>
        <v/>
      </c>
      <c r="AS203" s="3">
        <f>IF(K203&gt;0;AQ203/K203;"")</f>
        <v/>
      </c>
      <c r="AT203" s="2">
        <f>L203-K203-AL203-AE203-IF(AM203&gt;0;AM203;'_Настройки'!$B$9)-AP203-AC203</f>
        <v/>
      </c>
      <c r="AU203" s="3">
        <f>IF(L203&gt;0;AT203/L203;"")</f>
        <v/>
      </c>
      <c r="AV203" s="3">
        <f>IF(K203&gt;0;AT203/K203;"")</f>
        <v/>
      </c>
    </row>
    <row r="204">
      <c r="A204">
        <f>ROW()-1</f>
        <v/>
      </c>
      <c r="K204" s="2">
        <f>IFERROR(INDEX('_Цены_закупки'!$B:$B;MATCH(C204;'_Цены_закупки'!$A:$A;0));"")</f>
        <v/>
      </c>
      <c r="L204" s="2" t="n"/>
      <c r="M204" s="2" t="n"/>
      <c r="N204" s="3">
        <f>IF(AND(M204&gt;0;L204&gt;0);1-L204/M204;"")</f>
        <v/>
      </c>
      <c r="O204" s="2">
        <f>IF(OR(Q204="";K204=0);"";(K204+IF(AM204&gt;0;AM204;'_Настройки'!$B$9)+AP204+AC204+Q204*K204)/(1-AH204-AD204))</f>
        <v/>
      </c>
      <c r="P204" s="2">
        <f>IF(O204="";"";O204-K204-O204*AH204-O204*AD204-IF(AM204&gt;0;AM204;'_Настройки'!$B$9)-AP204-AC204)</f>
        <v/>
      </c>
      <c r="Q204" s="3">
        <f>IF(AND(O204&gt;0;K204&gt;0);P204/K204;"")</f>
        <v/>
      </c>
      <c r="R204" s="2">
        <f>IF(O204="";"";O204-K204-O204*AK204-O204*AD204-IF(AM204&gt;0;AM204;'_Настройки'!$B$9)-AP204-AC204)</f>
        <v/>
      </c>
      <c r="S204" s="3">
        <f>IF(AND(O204&gt;0;K204&gt;0);R204/K204;"")</f>
        <v/>
      </c>
      <c r="T204" s="2" t="n"/>
      <c r="U204" s="3">
        <f>IF(AND(L204&gt;0;T204&gt;0);1-T204/L204;"")</f>
        <v/>
      </c>
      <c r="V204" s="3">
        <f>'_Настройки'!$B$4</f>
        <v/>
      </c>
      <c r="Z204" s="4">
        <f>IF(AND(W204&gt;0;X204&gt;0;Y204&gt;0);W204*X204*Y204/1000;"")</f>
        <v/>
      </c>
      <c r="AB204" s="2">
        <f>('_Настройки'!$B$6+MAX(0;Z204-1)*'_Настройки'!$B$7)*IF(AA204&gt;0;AA204;'_Настройки'!$B$10)</f>
        <v/>
      </c>
      <c r="AC204" s="2">
        <f>AB204*(1+'_Настройки'!$B$8)</f>
        <v/>
      </c>
      <c r="AD204" s="3">
        <f>'_Настройки'!$B$2</f>
        <v/>
      </c>
      <c r="AE204" s="2">
        <f>L204*AD204</f>
        <v/>
      </c>
      <c r="AF204" s="3">
        <f>'_Настройки'!$B$3</f>
        <v/>
      </c>
      <c r="AG204" s="3">
        <f>IFERROR(INDEX('_Комиссия_ВБ'!$B:$B;MATCH(C204;'_Комиссия_ВБ'!$A:$A;0));0,245)</f>
        <v/>
      </c>
      <c r="AH204" s="3">
        <f>AG204+AF204</f>
        <v/>
      </c>
      <c r="AI204" s="2">
        <f>L204*AH204</f>
        <v/>
      </c>
      <c r="AJ204" s="3">
        <f>IFERROR(INDEX('_Комиссия_ВБ'!$C:$C;MATCH(C204;'_Комиссия_ВБ'!$A:$A;0));0,28)</f>
        <v/>
      </c>
      <c r="AK204" s="3">
        <f>AJ204+AF204</f>
        <v/>
      </c>
      <c r="AL204" s="2">
        <f>L204*AK204</f>
        <v/>
      </c>
      <c r="AM204" s="2" t="n"/>
      <c r="AO204" s="3">
        <f>'_Настройки'!$B$5</f>
        <v/>
      </c>
      <c r="AP204" s="2">
        <f>IF(K204&gt;0;K204*AO204;0)</f>
        <v/>
      </c>
      <c r="AQ204" s="2">
        <f>L204-K204-AI204-AE204-IF(AM204&gt;0;AM204;'_Настройки'!$B$9)-AP204-AC204</f>
        <v/>
      </c>
      <c r="AR204" s="3">
        <f>IF(L204&gt;0;AQ204/L204;"")</f>
        <v/>
      </c>
      <c r="AS204" s="3">
        <f>IF(K204&gt;0;AQ204/K204;"")</f>
        <v/>
      </c>
      <c r="AT204" s="2">
        <f>L204-K204-AL204-AE204-IF(AM204&gt;0;AM204;'_Настройки'!$B$9)-AP204-AC204</f>
        <v/>
      </c>
      <c r="AU204" s="3">
        <f>IF(L204&gt;0;AT204/L204;"")</f>
        <v/>
      </c>
      <c r="AV204" s="3">
        <f>IF(K204&gt;0;AT204/K204;"")</f>
        <v/>
      </c>
    </row>
    <row r="205">
      <c r="A205">
        <f>ROW()-1</f>
        <v/>
      </c>
      <c r="K205" s="2">
        <f>IFERROR(INDEX('_Цены_закупки'!$B:$B;MATCH(C205;'_Цены_закупки'!$A:$A;0));"")</f>
        <v/>
      </c>
      <c r="L205" s="2" t="n"/>
      <c r="M205" s="2" t="n"/>
      <c r="N205" s="3">
        <f>IF(AND(M205&gt;0;L205&gt;0);1-L205/M205;"")</f>
        <v/>
      </c>
      <c r="O205" s="2">
        <f>IF(OR(Q205="";K205=0);"";(K205+IF(AM205&gt;0;AM205;'_Настройки'!$B$9)+AP205+AC205+Q205*K205)/(1-AH205-AD205))</f>
        <v/>
      </c>
      <c r="P205" s="2">
        <f>IF(O205="";"";O205-K205-O205*AH205-O205*AD205-IF(AM205&gt;0;AM205;'_Настройки'!$B$9)-AP205-AC205)</f>
        <v/>
      </c>
      <c r="Q205" s="3">
        <f>IF(AND(O205&gt;0;K205&gt;0);P205/K205;"")</f>
        <v/>
      </c>
      <c r="R205" s="2">
        <f>IF(O205="";"";O205-K205-O205*AK205-O205*AD205-IF(AM205&gt;0;AM205;'_Настройки'!$B$9)-AP205-AC205)</f>
        <v/>
      </c>
      <c r="S205" s="3">
        <f>IF(AND(O205&gt;0;K205&gt;0);R205/K205;"")</f>
        <v/>
      </c>
      <c r="T205" s="2" t="n"/>
      <c r="U205" s="3">
        <f>IF(AND(L205&gt;0;T205&gt;0);1-T205/L205;"")</f>
        <v/>
      </c>
      <c r="V205" s="3">
        <f>'_Настройки'!$B$4</f>
        <v/>
      </c>
      <c r="Z205" s="4">
        <f>IF(AND(W205&gt;0;X205&gt;0;Y205&gt;0);W205*X205*Y205/1000;"")</f>
        <v/>
      </c>
      <c r="AB205" s="2">
        <f>('_Настройки'!$B$6+MAX(0;Z205-1)*'_Настройки'!$B$7)*IF(AA205&gt;0;AA205;'_Настройки'!$B$10)</f>
        <v/>
      </c>
      <c r="AC205" s="2">
        <f>AB205*(1+'_Настройки'!$B$8)</f>
        <v/>
      </c>
      <c r="AD205" s="3">
        <f>'_Настройки'!$B$2</f>
        <v/>
      </c>
      <c r="AE205" s="2">
        <f>L205*AD205</f>
        <v/>
      </c>
      <c r="AF205" s="3">
        <f>'_Настройки'!$B$3</f>
        <v/>
      </c>
      <c r="AG205" s="3">
        <f>IFERROR(INDEX('_Комиссия_ВБ'!$B:$B;MATCH(C205;'_Комиссия_ВБ'!$A:$A;0));0,245)</f>
        <v/>
      </c>
      <c r="AH205" s="3">
        <f>AG205+AF205</f>
        <v/>
      </c>
      <c r="AI205" s="2">
        <f>L205*AH205</f>
        <v/>
      </c>
      <c r="AJ205" s="3">
        <f>IFERROR(INDEX('_Комиссия_ВБ'!$C:$C;MATCH(C205;'_Комиссия_ВБ'!$A:$A;0));0,28)</f>
        <v/>
      </c>
      <c r="AK205" s="3">
        <f>AJ205+AF205</f>
        <v/>
      </c>
      <c r="AL205" s="2">
        <f>L205*AK205</f>
        <v/>
      </c>
      <c r="AM205" s="2" t="n"/>
      <c r="AO205" s="3">
        <f>'_Настройки'!$B$5</f>
        <v/>
      </c>
      <c r="AP205" s="2">
        <f>IF(K205&gt;0;K205*AO205;0)</f>
        <v/>
      </c>
      <c r="AQ205" s="2">
        <f>L205-K205-AI205-AE205-IF(AM205&gt;0;AM205;'_Настройки'!$B$9)-AP205-AC205</f>
        <v/>
      </c>
      <c r="AR205" s="3">
        <f>IF(L205&gt;0;AQ205/L205;"")</f>
        <v/>
      </c>
      <c r="AS205" s="3">
        <f>IF(K205&gt;0;AQ205/K205;"")</f>
        <v/>
      </c>
      <c r="AT205" s="2">
        <f>L205-K205-AL205-AE205-IF(AM205&gt;0;AM205;'_Настройки'!$B$9)-AP205-AC205</f>
        <v/>
      </c>
      <c r="AU205" s="3">
        <f>IF(L205&gt;0;AT205/L205;"")</f>
        <v/>
      </c>
      <c r="AV205" s="3">
        <f>IF(K205&gt;0;AT205/K205;"")</f>
        <v/>
      </c>
    </row>
    <row r="206">
      <c r="A206">
        <f>ROW()-1</f>
        <v/>
      </c>
      <c r="K206" s="2">
        <f>IFERROR(INDEX('_Цены_закупки'!$B:$B;MATCH(C206;'_Цены_закупки'!$A:$A;0));"")</f>
        <v/>
      </c>
      <c r="L206" s="2" t="n"/>
      <c r="M206" s="2" t="n"/>
      <c r="N206" s="3">
        <f>IF(AND(M206&gt;0;L206&gt;0);1-L206/M206;"")</f>
        <v/>
      </c>
      <c r="O206" s="2">
        <f>IF(OR(Q206="";K206=0);"";(K206+IF(AM206&gt;0;AM206;'_Настройки'!$B$9)+AP206+AC206+Q206*K206)/(1-AH206-AD206))</f>
        <v/>
      </c>
      <c r="P206" s="2">
        <f>IF(O206="";"";O206-K206-O206*AH206-O206*AD206-IF(AM206&gt;0;AM206;'_Настройки'!$B$9)-AP206-AC206)</f>
        <v/>
      </c>
      <c r="Q206" s="3">
        <f>IF(AND(O206&gt;0;K206&gt;0);P206/K206;"")</f>
        <v/>
      </c>
      <c r="R206" s="2">
        <f>IF(O206="";"";O206-K206-O206*AK206-O206*AD206-IF(AM206&gt;0;AM206;'_Настройки'!$B$9)-AP206-AC206)</f>
        <v/>
      </c>
      <c r="S206" s="3">
        <f>IF(AND(O206&gt;0;K206&gt;0);R206/K206;"")</f>
        <v/>
      </c>
      <c r="T206" s="2" t="n"/>
      <c r="U206" s="3">
        <f>IF(AND(L206&gt;0;T206&gt;0);1-T206/L206;"")</f>
        <v/>
      </c>
      <c r="V206" s="3">
        <f>'_Настройки'!$B$4</f>
        <v/>
      </c>
      <c r="Z206" s="4">
        <f>IF(AND(W206&gt;0;X206&gt;0;Y206&gt;0);W206*X206*Y206/1000;"")</f>
        <v/>
      </c>
      <c r="AB206" s="2">
        <f>('_Настройки'!$B$6+MAX(0;Z206-1)*'_Настройки'!$B$7)*IF(AA206&gt;0;AA206;'_Настройки'!$B$10)</f>
        <v/>
      </c>
      <c r="AC206" s="2">
        <f>AB206*(1+'_Настройки'!$B$8)</f>
        <v/>
      </c>
      <c r="AD206" s="3">
        <f>'_Настройки'!$B$2</f>
        <v/>
      </c>
      <c r="AE206" s="2">
        <f>L206*AD206</f>
        <v/>
      </c>
      <c r="AF206" s="3">
        <f>'_Настройки'!$B$3</f>
        <v/>
      </c>
      <c r="AG206" s="3">
        <f>IFERROR(INDEX('_Комиссия_ВБ'!$B:$B;MATCH(C206;'_Комиссия_ВБ'!$A:$A;0));0,245)</f>
        <v/>
      </c>
      <c r="AH206" s="3">
        <f>AG206+AF206</f>
        <v/>
      </c>
      <c r="AI206" s="2">
        <f>L206*AH206</f>
        <v/>
      </c>
      <c r="AJ206" s="3">
        <f>IFERROR(INDEX('_Комиссия_ВБ'!$C:$C;MATCH(C206;'_Комиссия_ВБ'!$A:$A;0));0,28)</f>
        <v/>
      </c>
      <c r="AK206" s="3">
        <f>AJ206+AF206</f>
        <v/>
      </c>
      <c r="AL206" s="2">
        <f>L206*AK206</f>
        <v/>
      </c>
      <c r="AM206" s="2" t="n"/>
      <c r="AO206" s="3">
        <f>'_Настройки'!$B$5</f>
        <v/>
      </c>
      <c r="AP206" s="2">
        <f>IF(K206&gt;0;K206*AO206;0)</f>
        <v/>
      </c>
      <c r="AQ206" s="2">
        <f>L206-K206-AI206-AE206-IF(AM206&gt;0;AM206;'_Настройки'!$B$9)-AP206-AC206</f>
        <v/>
      </c>
      <c r="AR206" s="3">
        <f>IF(L206&gt;0;AQ206/L206;"")</f>
        <v/>
      </c>
      <c r="AS206" s="3">
        <f>IF(K206&gt;0;AQ206/K206;"")</f>
        <v/>
      </c>
      <c r="AT206" s="2">
        <f>L206-K206-AL206-AE206-IF(AM206&gt;0;AM206;'_Настройки'!$B$9)-AP206-AC206</f>
        <v/>
      </c>
      <c r="AU206" s="3">
        <f>IF(L206&gt;0;AT206/L206;"")</f>
        <v/>
      </c>
      <c r="AV206" s="3">
        <f>IF(K206&gt;0;AT206/K206;"")</f>
        <v/>
      </c>
    </row>
    <row r="207">
      <c r="A207">
        <f>ROW()-1</f>
        <v/>
      </c>
      <c r="K207" s="2">
        <f>IFERROR(INDEX('_Цены_закупки'!$B:$B;MATCH(C207;'_Цены_закупки'!$A:$A;0));"")</f>
        <v/>
      </c>
      <c r="L207" s="2" t="n"/>
      <c r="M207" s="2" t="n"/>
      <c r="N207" s="3">
        <f>IF(AND(M207&gt;0;L207&gt;0);1-L207/M207;"")</f>
        <v/>
      </c>
      <c r="O207" s="2">
        <f>IF(OR(Q207="";K207=0);"";(K207+IF(AM207&gt;0;AM207;'_Настройки'!$B$9)+AP207+AC207+Q207*K207)/(1-AH207-AD207))</f>
        <v/>
      </c>
      <c r="P207" s="2">
        <f>IF(O207="";"";O207-K207-O207*AH207-O207*AD207-IF(AM207&gt;0;AM207;'_Настройки'!$B$9)-AP207-AC207)</f>
        <v/>
      </c>
      <c r="Q207" s="3">
        <f>IF(AND(O207&gt;0;K207&gt;0);P207/K207;"")</f>
        <v/>
      </c>
      <c r="R207" s="2">
        <f>IF(O207="";"";O207-K207-O207*AK207-O207*AD207-IF(AM207&gt;0;AM207;'_Настройки'!$B$9)-AP207-AC207)</f>
        <v/>
      </c>
      <c r="S207" s="3">
        <f>IF(AND(O207&gt;0;K207&gt;0);R207/K207;"")</f>
        <v/>
      </c>
      <c r="T207" s="2" t="n"/>
      <c r="U207" s="3">
        <f>IF(AND(L207&gt;0;T207&gt;0);1-T207/L207;"")</f>
        <v/>
      </c>
      <c r="V207" s="3">
        <f>'_Настройки'!$B$4</f>
        <v/>
      </c>
      <c r="Z207" s="4">
        <f>IF(AND(W207&gt;0;X207&gt;0;Y207&gt;0);W207*X207*Y207/1000;"")</f>
        <v/>
      </c>
      <c r="AB207" s="2">
        <f>('_Настройки'!$B$6+MAX(0;Z207-1)*'_Настройки'!$B$7)*IF(AA207&gt;0;AA207;'_Настройки'!$B$10)</f>
        <v/>
      </c>
      <c r="AC207" s="2">
        <f>AB207*(1+'_Настройки'!$B$8)</f>
        <v/>
      </c>
      <c r="AD207" s="3">
        <f>'_Настройки'!$B$2</f>
        <v/>
      </c>
      <c r="AE207" s="2">
        <f>L207*AD207</f>
        <v/>
      </c>
      <c r="AF207" s="3">
        <f>'_Настройки'!$B$3</f>
        <v/>
      </c>
      <c r="AG207" s="3">
        <f>IFERROR(INDEX('_Комиссия_ВБ'!$B:$B;MATCH(C207;'_Комиссия_ВБ'!$A:$A;0));0,245)</f>
        <v/>
      </c>
      <c r="AH207" s="3">
        <f>AG207+AF207</f>
        <v/>
      </c>
      <c r="AI207" s="2">
        <f>L207*AH207</f>
        <v/>
      </c>
      <c r="AJ207" s="3">
        <f>IFERROR(INDEX('_Комиссия_ВБ'!$C:$C;MATCH(C207;'_Комиссия_ВБ'!$A:$A;0));0,28)</f>
        <v/>
      </c>
      <c r="AK207" s="3">
        <f>AJ207+AF207</f>
        <v/>
      </c>
      <c r="AL207" s="2">
        <f>L207*AK207</f>
        <v/>
      </c>
      <c r="AM207" s="2" t="n"/>
      <c r="AO207" s="3">
        <f>'_Настройки'!$B$5</f>
        <v/>
      </c>
      <c r="AP207" s="2">
        <f>IF(K207&gt;0;K207*AO207;0)</f>
        <v/>
      </c>
      <c r="AQ207" s="2">
        <f>L207-K207-AI207-AE207-IF(AM207&gt;0;AM207;'_Настройки'!$B$9)-AP207-AC207</f>
        <v/>
      </c>
      <c r="AR207" s="3">
        <f>IF(L207&gt;0;AQ207/L207;"")</f>
        <v/>
      </c>
      <c r="AS207" s="3">
        <f>IF(K207&gt;0;AQ207/K207;"")</f>
        <v/>
      </c>
      <c r="AT207" s="2">
        <f>L207-K207-AL207-AE207-IF(AM207&gt;0;AM207;'_Настройки'!$B$9)-AP207-AC207</f>
        <v/>
      </c>
      <c r="AU207" s="3">
        <f>IF(L207&gt;0;AT207/L207;"")</f>
        <v/>
      </c>
      <c r="AV207" s="3">
        <f>IF(K207&gt;0;AT207/K207;"")</f>
        <v/>
      </c>
    </row>
    <row r="208">
      <c r="A208">
        <f>ROW()-1</f>
        <v/>
      </c>
      <c r="K208" s="2">
        <f>IFERROR(INDEX('_Цены_закупки'!$B:$B;MATCH(C208;'_Цены_закупки'!$A:$A;0));"")</f>
        <v/>
      </c>
      <c r="L208" s="2" t="n"/>
      <c r="M208" s="2" t="n"/>
      <c r="N208" s="3">
        <f>IF(AND(M208&gt;0;L208&gt;0);1-L208/M208;"")</f>
        <v/>
      </c>
      <c r="O208" s="2">
        <f>IF(OR(Q208="";K208=0);"";(K208+IF(AM208&gt;0;AM208;'_Настройки'!$B$9)+AP208+AC208+Q208*K208)/(1-AH208-AD208))</f>
        <v/>
      </c>
      <c r="P208" s="2">
        <f>IF(O208="";"";O208-K208-O208*AH208-O208*AD208-IF(AM208&gt;0;AM208;'_Настройки'!$B$9)-AP208-AC208)</f>
        <v/>
      </c>
      <c r="Q208" s="3">
        <f>IF(AND(O208&gt;0;K208&gt;0);P208/K208;"")</f>
        <v/>
      </c>
      <c r="R208" s="2">
        <f>IF(O208="";"";O208-K208-O208*AK208-O208*AD208-IF(AM208&gt;0;AM208;'_Настройки'!$B$9)-AP208-AC208)</f>
        <v/>
      </c>
      <c r="S208" s="3">
        <f>IF(AND(O208&gt;0;K208&gt;0);R208/K208;"")</f>
        <v/>
      </c>
      <c r="T208" s="2" t="n"/>
      <c r="U208" s="3">
        <f>IF(AND(L208&gt;0;T208&gt;0);1-T208/L208;"")</f>
        <v/>
      </c>
      <c r="V208" s="3">
        <f>'_Настройки'!$B$4</f>
        <v/>
      </c>
      <c r="Z208" s="4">
        <f>IF(AND(W208&gt;0;X208&gt;0;Y208&gt;0);W208*X208*Y208/1000;"")</f>
        <v/>
      </c>
      <c r="AB208" s="2">
        <f>('_Настройки'!$B$6+MAX(0;Z208-1)*'_Настройки'!$B$7)*IF(AA208&gt;0;AA208;'_Настройки'!$B$10)</f>
        <v/>
      </c>
      <c r="AC208" s="2">
        <f>AB208*(1+'_Настройки'!$B$8)</f>
        <v/>
      </c>
      <c r="AD208" s="3">
        <f>'_Настройки'!$B$2</f>
        <v/>
      </c>
      <c r="AE208" s="2">
        <f>L208*AD208</f>
        <v/>
      </c>
      <c r="AF208" s="3">
        <f>'_Настройки'!$B$3</f>
        <v/>
      </c>
      <c r="AG208" s="3">
        <f>IFERROR(INDEX('_Комиссия_ВБ'!$B:$B;MATCH(C208;'_Комиссия_ВБ'!$A:$A;0));0,245)</f>
        <v/>
      </c>
      <c r="AH208" s="3">
        <f>AG208+AF208</f>
        <v/>
      </c>
      <c r="AI208" s="2">
        <f>L208*AH208</f>
        <v/>
      </c>
      <c r="AJ208" s="3">
        <f>IFERROR(INDEX('_Комиссия_ВБ'!$C:$C;MATCH(C208;'_Комиссия_ВБ'!$A:$A;0));0,28)</f>
        <v/>
      </c>
      <c r="AK208" s="3">
        <f>AJ208+AF208</f>
        <v/>
      </c>
      <c r="AL208" s="2">
        <f>L208*AK208</f>
        <v/>
      </c>
      <c r="AM208" s="2" t="n"/>
      <c r="AO208" s="3">
        <f>'_Настройки'!$B$5</f>
        <v/>
      </c>
      <c r="AP208" s="2">
        <f>IF(K208&gt;0;K208*AO208;0)</f>
        <v/>
      </c>
      <c r="AQ208" s="2">
        <f>L208-K208-AI208-AE208-IF(AM208&gt;0;AM208;'_Настройки'!$B$9)-AP208-AC208</f>
        <v/>
      </c>
      <c r="AR208" s="3">
        <f>IF(L208&gt;0;AQ208/L208;"")</f>
        <v/>
      </c>
      <c r="AS208" s="3">
        <f>IF(K208&gt;0;AQ208/K208;"")</f>
        <v/>
      </c>
      <c r="AT208" s="2">
        <f>L208-K208-AL208-AE208-IF(AM208&gt;0;AM208;'_Настройки'!$B$9)-AP208-AC208</f>
        <v/>
      </c>
      <c r="AU208" s="3">
        <f>IF(L208&gt;0;AT208/L208;"")</f>
        <v/>
      </c>
      <c r="AV208" s="3">
        <f>IF(K208&gt;0;AT208/K208;"")</f>
        <v/>
      </c>
    </row>
    <row r="209">
      <c r="A209">
        <f>ROW()-1</f>
        <v/>
      </c>
      <c r="K209" s="2">
        <f>IFERROR(INDEX('_Цены_закупки'!$B:$B;MATCH(C209;'_Цены_закупки'!$A:$A;0));"")</f>
        <v/>
      </c>
      <c r="L209" s="2" t="n"/>
      <c r="M209" s="2" t="n"/>
      <c r="N209" s="3">
        <f>IF(AND(M209&gt;0;L209&gt;0);1-L209/M209;"")</f>
        <v/>
      </c>
      <c r="O209" s="2">
        <f>IF(OR(Q209="";K209=0);"";(K209+IF(AM209&gt;0;AM209;'_Настройки'!$B$9)+AP209+AC209+Q209*K209)/(1-AH209-AD209))</f>
        <v/>
      </c>
      <c r="P209" s="2">
        <f>IF(O209="";"";O209-K209-O209*AH209-O209*AD209-IF(AM209&gt;0;AM209;'_Настройки'!$B$9)-AP209-AC209)</f>
        <v/>
      </c>
      <c r="Q209" s="3">
        <f>IF(AND(O209&gt;0;K209&gt;0);P209/K209;"")</f>
        <v/>
      </c>
      <c r="R209" s="2">
        <f>IF(O209="";"";O209-K209-O209*AK209-O209*AD209-IF(AM209&gt;0;AM209;'_Настройки'!$B$9)-AP209-AC209)</f>
        <v/>
      </c>
      <c r="S209" s="3">
        <f>IF(AND(O209&gt;0;K209&gt;0);R209/K209;"")</f>
        <v/>
      </c>
      <c r="T209" s="2" t="n"/>
      <c r="U209" s="3">
        <f>IF(AND(L209&gt;0;T209&gt;0);1-T209/L209;"")</f>
        <v/>
      </c>
      <c r="V209" s="3">
        <f>'_Настройки'!$B$4</f>
        <v/>
      </c>
      <c r="Z209" s="4">
        <f>IF(AND(W209&gt;0;X209&gt;0;Y209&gt;0);W209*X209*Y209/1000;"")</f>
        <v/>
      </c>
      <c r="AB209" s="2">
        <f>('_Настройки'!$B$6+MAX(0;Z209-1)*'_Настройки'!$B$7)*IF(AA209&gt;0;AA209;'_Настройки'!$B$10)</f>
        <v/>
      </c>
      <c r="AC209" s="2">
        <f>AB209*(1+'_Настройки'!$B$8)</f>
        <v/>
      </c>
      <c r="AD209" s="3">
        <f>'_Настройки'!$B$2</f>
        <v/>
      </c>
      <c r="AE209" s="2">
        <f>L209*AD209</f>
        <v/>
      </c>
      <c r="AF209" s="3">
        <f>'_Настройки'!$B$3</f>
        <v/>
      </c>
      <c r="AG209" s="3">
        <f>IFERROR(INDEX('_Комиссия_ВБ'!$B:$B;MATCH(C209;'_Комиссия_ВБ'!$A:$A;0));0,245)</f>
        <v/>
      </c>
      <c r="AH209" s="3">
        <f>AG209+AF209</f>
        <v/>
      </c>
      <c r="AI209" s="2">
        <f>L209*AH209</f>
        <v/>
      </c>
      <c r="AJ209" s="3">
        <f>IFERROR(INDEX('_Комиссия_ВБ'!$C:$C;MATCH(C209;'_Комиссия_ВБ'!$A:$A;0));0,28)</f>
        <v/>
      </c>
      <c r="AK209" s="3">
        <f>AJ209+AF209</f>
        <v/>
      </c>
      <c r="AL209" s="2">
        <f>L209*AK209</f>
        <v/>
      </c>
      <c r="AM209" s="2" t="n"/>
      <c r="AO209" s="3">
        <f>'_Настройки'!$B$5</f>
        <v/>
      </c>
      <c r="AP209" s="2">
        <f>IF(K209&gt;0;K209*AO209;0)</f>
        <v/>
      </c>
      <c r="AQ209" s="2">
        <f>L209-K209-AI209-AE209-IF(AM209&gt;0;AM209;'_Настройки'!$B$9)-AP209-AC209</f>
        <v/>
      </c>
      <c r="AR209" s="3">
        <f>IF(L209&gt;0;AQ209/L209;"")</f>
        <v/>
      </c>
      <c r="AS209" s="3">
        <f>IF(K209&gt;0;AQ209/K209;"")</f>
        <v/>
      </c>
      <c r="AT209" s="2">
        <f>L209-K209-AL209-AE209-IF(AM209&gt;0;AM209;'_Настройки'!$B$9)-AP209-AC209</f>
        <v/>
      </c>
      <c r="AU209" s="3">
        <f>IF(L209&gt;0;AT209/L209;"")</f>
        <v/>
      </c>
      <c r="AV209" s="3">
        <f>IF(K209&gt;0;AT209/K209;"")</f>
        <v/>
      </c>
    </row>
    <row r="210">
      <c r="A210">
        <f>ROW()-1</f>
        <v/>
      </c>
      <c r="K210" s="2">
        <f>IFERROR(INDEX('_Цены_закупки'!$B:$B;MATCH(C210;'_Цены_закупки'!$A:$A;0));"")</f>
        <v/>
      </c>
      <c r="L210" s="2" t="n"/>
      <c r="M210" s="2" t="n"/>
      <c r="N210" s="3">
        <f>IF(AND(M210&gt;0;L210&gt;0);1-L210/M210;"")</f>
        <v/>
      </c>
      <c r="O210" s="2">
        <f>IF(OR(Q210="";K210=0);"";(K210+IF(AM210&gt;0;AM210;'_Настройки'!$B$9)+AP210+AC210+Q210*K210)/(1-AH210-AD210))</f>
        <v/>
      </c>
      <c r="P210" s="2">
        <f>IF(O210="";"";O210-K210-O210*AH210-O210*AD210-IF(AM210&gt;0;AM210;'_Настройки'!$B$9)-AP210-AC210)</f>
        <v/>
      </c>
      <c r="Q210" s="3">
        <f>IF(AND(O210&gt;0;K210&gt;0);P210/K210;"")</f>
        <v/>
      </c>
      <c r="R210" s="2">
        <f>IF(O210="";"";O210-K210-O210*AK210-O210*AD210-IF(AM210&gt;0;AM210;'_Настройки'!$B$9)-AP210-AC210)</f>
        <v/>
      </c>
      <c r="S210" s="3">
        <f>IF(AND(O210&gt;0;K210&gt;0);R210/K210;"")</f>
        <v/>
      </c>
      <c r="T210" s="2" t="n"/>
      <c r="U210" s="3">
        <f>IF(AND(L210&gt;0;T210&gt;0);1-T210/L210;"")</f>
        <v/>
      </c>
      <c r="V210" s="3">
        <f>'_Настройки'!$B$4</f>
        <v/>
      </c>
      <c r="Z210" s="4">
        <f>IF(AND(W210&gt;0;X210&gt;0;Y210&gt;0);W210*X210*Y210/1000;"")</f>
        <v/>
      </c>
      <c r="AB210" s="2">
        <f>('_Настройки'!$B$6+MAX(0;Z210-1)*'_Настройки'!$B$7)*IF(AA210&gt;0;AA210;'_Настройки'!$B$10)</f>
        <v/>
      </c>
      <c r="AC210" s="2">
        <f>AB210*(1+'_Настройки'!$B$8)</f>
        <v/>
      </c>
      <c r="AD210" s="3">
        <f>'_Настройки'!$B$2</f>
        <v/>
      </c>
      <c r="AE210" s="2">
        <f>L210*AD210</f>
        <v/>
      </c>
      <c r="AF210" s="3">
        <f>'_Настройки'!$B$3</f>
        <v/>
      </c>
      <c r="AG210" s="3">
        <f>IFERROR(INDEX('_Комиссия_ВБ'!$B:$B;MATCH(C210;'_Комиссия_ВБ'!$A:$A;0));0,245)</f>
        <v/>
      </c>
      <c r="AH210" s="3">
        <f>AG210+AF210</f>
        <v/>
      </c>
      <c r="AI210" s="2">
        <f>L210*AH210</f>
        <v/>
      </c>
      <c r="AJ210" s="3">
        <f>IFERROR(INDEX('_Комиссия_ВБ'!$C:$C;MATCH(C210;'_Комиссия_ВБ'!$A:$A;0));0,28)</f>
        <v/>
      </c>
      <c r="AK210" s="3">
        <f>AJ210+AF210</f>
        <v/>
      </c>
      <c r="AL210" s="2">
        <f>L210*AK210</f>
        <v/>
      </c>
      <c r="AM210" s="2" t="n"/>
      <c r="AO210" s="3">
        <f>'_Настройки'!$B$5</f>
        <v/>
      </c>
      <c r="AP210" s="2">
        <f>IF(K210&gt;0;K210*AO210;0)</f>
        <v/>
      </c>
      <c r="AQ210" s="2">
        <f>L210-K210-AI210-AE210-IF(AM210&gt;0;AM210;'_Настройки'!$B$9)-AP210-AC210</f>
        <v/>
      </c>
      <c r="AR210" s="3">
        <f>IF(L210&gt;0;AQ210/L210;"")</f>
        <v/>
      </c>
      <c r="AS210" s="3">
        <f>IF(K210&gt;0;AQ210/K210;"")</f>
        <v/>
      </c>
      <c r="AT210" s="2">
        <f>L210-K210-AL210-AE210-IF(AM210&gt;0;AM210;'_Настройки'!$B$9)-AP210-AC210</f>
        <v/>
      </c>
      <c r="AU210" s="3">
        <f>IF(L210&gt;0;AT210/L210;"")</f>
        <v/>
      </c>
      <c r="AV210" s="3">
        <f>IF(K210&gt;0;AT210/K210;"")</f>
        <v/>
      </c>
    </row>
    <row r="211">
      <c r="A211">
        <f>ROW()-1</f>
        <v/>
      </c>
      <c r="K211" s="2">
        <f>IFERROR(INDEX('_Цены_закупки'!$B:$B;MATCH(C211;'_Цены_закупки'!$A:$A;0));"")</f>
        <v/>
      </c>
      <c r="L211" s="2" t="n"/>
      <c r="M211" s="2" t="n"/>
      <c r="N211" s="3">
        <f>IF(AND(M211&gt;0;L211&gt;0);1-L211/M211;"")</f>
        <v/>
      </c>
      <c r="O211" s="2">
        <f>IF(OR(Q211="";K211=0);"";(K211+IF(AM211&gt;0;AM211;'_Настройки'!$B$9)+AP211+AC211+Q211*K211)/(1-AH211-AD211))</f>
        <v/>
      </c>
      <c r="P211" s="2">
        <f>IF(O211="";"";O211-K211-O211*AH211-O211*AD211-IF(AM211&gt;0;AM211;'_Настройки'!$B$9)-AP211-AC211)</f>
        <v/>
      </c>
      <c r="Q211" s="3">
        <f>IF(AND(O211&gt;0;K211&gt;0);P211/K211;"")</f>
        <v/>
      </c>
      <c r="R211" s="2">
        <f>IF(O211="";"";O211-K211-O211*AK211-O211*AD211-IF(AM211&gt;0;AM211;'_Настройки'!$B$9)-AP211-AC211)</f>
        <v/>
      </c>
      <c r="S211" s="3">
        <f>IF(AND(O211&gt;0;K211&gt;0);R211/K211;"")</f>
        <v/>
      </c>
      <c r="T211" s="2" t="n"/>
      <c r="U211" s="3">
        <f>IF(AND(L211&gt;0;T211&gt;0);1-T211/L211;"")</f>
        <v/>
      </c>
      <c r="V211" s="3">
        <f>'_Настройки'!$B$4</f>
        <v/>
      </c>
      <c r="Z211" s="4">
        <f>IF(AND(W211&gt;0;X211&gt;0;Y211&gt;0);W211*X211*Y211/1000;"")</f>
        <v/>
      </c>
      <c r="AB211" s="2">
        <f>('_Настройки'!$B$6+MAX(0;Z211-1)*'_Настройки'!$B$7)*IF(AA211&gt;0;AA211;'_Настройки'!$B$10)</f>
        <v/>
      </c>
      <c r="AC211" s="2">
        <f>AB211*(1+'_Настройки'!$B$8)</f>
        <v/>
      </c>
      <c r="AD211" s="3">
        <f>'_Настройки'!$B$2</f>
        <v/>
      </c>
      <c r="AE211" s="2">
        <f>L211*AD211</f>
        <v/>
      </c>
      <c r="AF211" s="3">
        <f>'_Настройки'!$B$3</f>
        <v/>
      </c>
      <c r="AG211" s="3">
        <f>IFERROR(INDEX('_Комиссия_ВБ'!$B:$B;MATCH(C211;'_Комиссия_ВБ'!$A:$A;0));0,245)</f>
        <v/>
      </c>
      <c r="AH211" s="3">
        <f>AG211+AF211</f>
        <v/>
      </c>
      <c r="AI211" s="2">
        <f>L211*AH211</f>
        <v/>
      </c>
      <c r="AJ211" s="3">
        <f>IFERROR(INDEX('_Комиссия_ВБ'!$C:$C;MATCH(C211;'_Комиссия_ВБ'!$A:$A;0));0,28)</f>
        <v/>
      </c>
      <c r="AK211" s="3">
        <f>AJ211+AF211</f>
        <v/>
      </c>
      <c r="AL211" s="2">
        <f>L211*AK211</f>
        <v/>
      </c>
      <c r="AM211" s="2" t="n"/>
      <c r="AO211" s="3">
        <f>'_Настройки'!$B$5</f>
        <v/>
      </c>
      <c r="AP211" s="2">
        <f>IF(K211&gt;0;K211*AO211;0)</f>
        <v/>
      </c>
      <c r="AQ211" s="2">
        <f>L211-K211-AI211-AE211-IF(AM211&gt;0;AM211;'_Настройки'!$B$9)-AP211-AC211</f>
        <v/>
      </c>
      <c r="AR211" s="3">
        <f>IF(L211&gt;0;AQ211/L211;"")</f>
        <v/>
      </c>
      <c r="AS211" s="3">
        <f>IF(K211&gt;0;AQ211/K211;"")</f>
        <v/>
      </c>
      <c r="AT211" s="2">
        <f>L211-K211-AL211-AE211-IF(AM211&gt;0;AM211;'_Настройки'!$B$9)-AP211-AC211</f>
        <v/>
      </c>
      <c r="AU211" s="3">
        <f>IF(L211&gt;0;AT211/L211;"")</f>
        <v/>
      </c>
      <c r="AV211" s="3">
        <f>IF(K211&gt;0;AT211/K211;"")</f>
        <v/>
      </c>
    </row>
    <row r="212">
      <c r="A212">
        <f>ROW()-1</f>
        <v/>
      </c>
      <c r="K212" s="2">
        <f>IFERROR(INDEX('_Цены_закупки'!$B:$B;MATCH(C212;'_Цены_закупки'!$A:$A;0));"")</f>
        <v/>
      </c>
      <c r="L212" s="2" t="n"/>
      <c r="M212" s="2" t="n"/>
      <c r="N212" s="3">
        <f>IF(AND(M212&gt;0;L212&gt;0);1-L212/M212;"")</f>
        <v/>
      </c>
      <c r="O212" s="2">
        <f>IF(OR(Q212="";K212=0);"";(K212+IF(AM212&gt;0;AM212;'_Настройки'!$B$9)+AP212+AC212+Q212*K212)/(1-AH212-AD212))</f>
        <v/>
      </c>
      <c r="P212" s="2">
        <f>IF(O212="";"";O212-K212-O212*AH212-O212*AD212-IF(AM212&gt;0;AM212;'_Настройки'!$B$9)-AP212-AC212)</f>
        <v/>
      </c>
      <c r="Q212" s="3">
        <f>IF(AND(O212&gt;0;K212&gt;0);P212/K212;"")</f>
        <v/>
      </c>
      <c r="R212" s="2">
        <f>IF(O212="";"";O212-K212-O212*AK212-O212*AD212-IF(AM212&gt;0;AM212;'_Настройки'!$B$9)-AP212-AC212)</f>
        <v/>
      </c>
      <c r="S212" s="3">
        <f>IF(AND(O212&gt;0;K212&gt;0);R212/K212;"")</f>
        <v/>
      </c>
      <c r="T212" s="2" t="n"/>
      <c r="U212" s="3">
        <f>IF(AND(L212&gt;0;T212&gt;0);1-T212/L212;"")</f>
        <v/>
      </c>
      <c r="V212" s="3">
        <f>'_Настройки'!$B$4</f>
        <v/>
      </c>
      <c r="Z212" s="4">
        <f>IF(AND(W212&gt;0;X212&gt;0;Y212&gt;0);W212*X212*Y212/1000;"")</f>
        <v/>
      </c>
      <c r="AB212" s="2">
        <f>('_Настройки'!$B$6+MAX(0;Z212-1)*'_Настройки'!$B$7)*IF(AA212&gt;0;AA212;'_Настройки'!$B$10)</f>
        <v/>
      </c>
      <c r="AC212" s="2">
        <f>AB212*(1+'_Настройки'!$B$8)</f>
        <v/>
      </c>
      <c r="AD212" s="3">
        <f>'_Настройки'!$B$2</f>
        <v/>
      </c>
      <c r="AE212" s="2">
        <f>L212*AD212</f>
        <v/>
      </c>
      <c r="AF212" s="3">
        <f>'_Настройки'!$B$3</f>
        <v/>
      </c>
      <c r="AG212" s="3">
        <f>IFERROR(INDEX('_Комиссия_ВБ'!$B:$B;MATCH(C212;'_Комиссия_ВБ'!$A:$A;0));0,245)</f>
        <v/>
      </c>
      <c r="AH212" s="3">
        <f>AG212+AF212</f>
        <v/>
      </c>
      <c r="AI212" s="2">
        <f>L212*AH212</f>
        <v/>
      </c>
      <c r="AJ212" s="3">
        <f>IFERROR(INDEX('_Комиссия_ВБ'!$C:$C;MATCH(C212;'_Комиссия_ВБ'!$A:$A;0));0,28)</f>
        <v/>
      </c>
      <c r="AK212" s="3">
        <f>AJ212+AF212</f>
        <v/>
      </c>
      <c r="AL212" s="2">
        <f>L212*AK212</f>
        <v/>
      </c>
      <c r="AM212" s="2" t="n"/>
      <c r="AO212" s="3">
        <f>'_Настройки'!$B$5</f>
        <v/>
      </c>
      <c r="AP212" s="2">
        <f>IF(K212&gt;0;K212*AO212;0)</f>
        <v/>
      </c>
      <c r="AQ212" s="2">
        <f>L212-K212-AI212-AE212-IF(AM212&gt;0;AM212;'_Настройки'!$B$9)-AP212-AC212</f>
        <v/>
      </c>
      <c r="AR212" s="3">
        <f>IF(L212&gt;0;AQ212/L212;"")</f>
        <v/>
      </c>
      <c r="AS212" s="3">
        <f>IF(K212&gt;0;AQ212/K212;"")</f>
        <v/>
      </c>
      <c r="AT212" s="2">
        <f>L212-K212-AL212-AE212-IF(AM212&gt;0;AM212;'_Настройки'!$B$9)-AP212-AC212</f>
        <v/>
      </c>
      <c r="AU212" s="3">
        <f>IF(L212&gt;0;AT212/L212;"")</f>
        <v/>
      </c>
      <c r="AV212" s="3">
        <f>IF(K212&gt;0;AT212/K212;"")</f>
        <v/>
      </c>
    </row>
    <row r="213">
      <c r="A213">
        <f>ROW()-1</f>
        <v/>
      </c>
      <c r="K213" s="2">
        <f>IFERROR(INDEX('_Цены_закупки'!$B:$B;MATCH(C213;'_Цены_закупки'!$A:$A;0));"")</f>
        <v/>
      </c>
      <c r="L213" s="2" t="n"/>
      <c r="M213" s="2" t="n"/>
      <c r="N213" s="3">
        <f>IF(AND(M213&gt;0;L213&gt;0);1-L213/M213;"")</f>
        <v/>
      </c>
      <c r="O213" s="2">
        <f>IF(OR(Q213="";K213=0);"";(K213+IF(AM213&gt;0;AM213;'_Настройки'!$B$9)+AP213+AC213+Q213*K213)/(1-AH213-AD213))</f>
        <v/>
      </c>
      <c r="P213" s="2">
        <f>IF(O213="";"";O213-K213-O213*AH213-O213*AD213-IF(AM213&gt;0;AM213;'_Настройки'!$B$9)-AP213-AC213)</f>
        <v/>
      </c>
      <c r="Q213" s="3">
        <f>IF(AND(O213&gt;0;K213&gt;0);P213/K213;"")</f>
        <v/>
      </c>
      <c r="R213" s="2">
        <f>IF(O213="";"";O213-K213-O213*AK213-O213*AD213-IF(AM213&gt;0;AM213;'_Настройки'!$B$9)-AP213-AC213)</f>
        <v/>
      </c>
      <c r="S213" s="3">
        <f>IF(AND(O213&gt;0;K213&gt;0);R213/K213;"")</f>
        <v/>
      </c>
      <c r="T213" s="2" t="n"/>
      <c r="U213" s="3">
        <f>IF(AND(L213&gt;0;T213&gt;0);1-T213/L213;"")</f>
        <v/>
      </c>
      <c r="V213" s="3">
        <f>'_Настройки'!$B$4</f>
        <v/>
      </c>
      <c r="Z213" s="4">
        <f>IF(AND(W213&gt;0;X213&gt;0;Y213&gt;0);W213*X213*Y213/1000;"")</f>
        <v/>
      </c>
      <c r="AB213" s="2">
        <f>('_Настройки'!$B$6+MAX(0;Z213-1)*'_Настройки'!$B$7)*IF(AA213&gt;0;AA213;'_Настройки'!$B$10)</f>
        <v/>
      </c>
      <c r="AC213" s="2">
        <f>AB213*(1+'_Настройки'!$B$8)</f>
        <v/>
      </c>
      <c r="AD213" s="3">
        <f>'_Настройки'!$B$2</f>
        <v/>
      </c>
      <c r="AE213" s="2">
        <f>L213*AD213</f>
        <v/>
      </c>
      <c r="AF213" s="3">
        <f>'_Настройки'!$B$3</f>
        <v/>
      </c>
      <c r="AG213" s="3">
        <f>IFERROR(INDEX('_Комиссия_ВБ'!$B:$B;MATCH(C213;'_Комиссия_ВБ'!$A:$A;0));0,245)</f>
        <v/>
      </c>
      <c r="AH213" s="3">
        <f>AG213+AF213</f>
        <v/>
      </c>
      <c r="AI213" s="2">
        <f>L213*AH213</f>
        <v/>
      </c>
      <c r="AJ213" s="3">
        <f>IFERROR(INDEX('_Комиссия_ВБ'!$C:$C;MATCH(C213;'_Комиссия_ВБ'!$A:$A;0));0,28)</f>
        <v/>
      </c>
      <c r="AK213" s="3">
        <f>AJ213+AF213</f>
        <v/>
      </c>
      <c r="AL213" s="2">
        <f>L213*AK213</f>
        <v/>
      </c>
      <c r="AM213" s="2" t="n"/>
      <c r="AO213" s="3">
        <f>'_Настройки'!$B$5</f>
        <v/>
      </c>
      <c r="AP213" s="2">
        <f>IF(K213&gt;0;K213*AO213;0)</f>
        <v/>
      </c>
      <c r="AQ213" s="2">
        <f>L213-K213-AI213-AE213-IF(AM213&gt;0;AM213;'_Настройки'!$B$9)-AP213-AC213</f>
        <v/>
      </c>
      <c r="AR213" s="3">
        <f>IF(L213&gt;0;AQ213/L213;"")</f>
        <v/>
      </c>
      <c r="AS213" s="3">
        <f>IF(K213&gt;0;AQ213/K213;"")</f>
        <v/>
      </c>
      <c r="AT213" s="2">
        <f>L213-K213-AL213-AE213-IF(AM213&gt;0;AM213;'_Настройки'!$B$9)-AP213-AC213</f>
        <v/>
      </c>
      <c r="AU213" s="3">
        <f>IF(L213&gt;0;AT213/L213;"")</f>
        <v/>
      </c>
      <c r="AV213" s="3">
        <f>IF(K213&gt;0;AT213/K213;"")</f>
        <v/>
      </c>
    </row>
    <row r="214">
      <c r="A214">
        <f>ROW()-1</f>
        <v/>
      </c>
      <c r="K214" s="2">
        <f>IFERROR(INDEX('_Цены_закупки'!$B:$B;MATCH(C214;'_Цены_закупки'!$A:$A;0));"")</f>
        <v/>
      </c>
      <c r="L214" s="2" t="n"/>
      <c r="M214" s="2" t="n"/>
      <c r="N214" s="3">
        <f>IF(AND(M214&gt;0;L214&gt;0);1-L214/M214;"")</f>
        <v/>
      </c>
      <c r="O214" s="2">
        <f>IF(OR(Q214="";K214=0);"";(K214+IF(AM214&gt;0;AM214;'_Настройки'!$B$9)+AP214+AC214+Q214*K214)/(1-AH214-AD214))</f>
        <v/>
      </c>
      <c r="P214" s="2">
        <f>IF(O214="";"";O214-K214-O214*AH214-O214*AD214-IF(AM214&gt;0;AM214;'_Настройки'!$B$9)-AP214-AC214)</f>
        <v/>
      </c>
      <c r="Q214" s="3">
        <f>IF(AND(O214&gt;0;K214&gt;0);P214/K214;"")</f>
        <v/>
      </c>
      <c r="R214" s="2">
        <f>IF(O214="";"";O214-K214-O214*AK214-O214*AD214-IF(AM214&gt;0;AM214;'_Настройки'!$B$9)-AP214-AC214)</f>
        <v/>
      </c>
      <c r="S214" s="3">
        <f>IF(AND(O214&gt;0;K214&gt;0);R214/K214;"")</f>
        <v/>
      </c>
      <c r="T214" s="2" t="n"/>
      <c r="U214" s="3">
        <f>IF(AND(L214&gt;0;T214&gt;0);1-T214/L214;"")</f>
        <v/>
      </c>
      <c r="V214" s="3">
        <f>'_Настройки'!$B$4</f>
        <v/>
      </c>
      <c r="Z214" s="4">
        <f>IF(AND(W214&gt;0;X214&gt;0;Y214&gt;0);W214*X214*Y214/1000;"")</f>
        <v/>
      </c>
      <c r="AB214" s="2">
        <f>('_Настройки'!$B$6+MAX(0;Z214-1)*'_Настройки'!$B$7)*IF(AA214&gt;0;AA214;'_Настройки'!$B$10)</f>
        <v/>
      </c>
      <c r="AC214" s="2">
        <f>AB214*(1+'_Настройки'!$B$8)</f>
        <v/>
      </c>
      <c r="AD214" s="3">
        <f>'_Настройки'!$B$2</f>
        <v/>
      </c>
      <c r="AE214" s="2">
        <f>L214*AD214</f>
        <v/>
      </c>
      <c r="AF214" s="3">
        <f>'_Настройки'!$B$3</f>
        <v/>
      </c>
      <c r="AG214" s="3">
        <f>IFERROR(INDEX('_Комиссия_ВБ'!$B:$B;MATCH(C214;'_Комиссия_ВБ'!$A:$A;0));0,245)</f>
        <v/>
      </c>
      <c r="AH214" s="3">
        <f>AG214+AF214</f>
        <v/>
      </c>
      <c r="AI214" s="2">
        <f>L214*AH214</f>
        <v/>
      </c>
      <c r="AJ214" s="3">
        <f>IFERROR(INDEX('_Комиссия_ВБ'!$C:$C;MATCH(C214;'_Комиссия_ВБ'!$A:$A;0));0,28)</f>
        <v/>
      </c>
      <c r="AK214" s="3">
        <f>AJ214+AF214</f>
        <v/>
      </c>
      <c r="AL214" s="2">
        <f>L214*AK214</f>
        <v/>
      </c>
      <c r="AM214" s="2" t="n"/>
      <c r="AO214" s="3">
        <f>'_Настройки'!$B$5</f>
        <v/>
      </c>
      <c r="AP214" s="2">
        <f>IF(K214&gt;0;K214*AO214;0)</f>
        <v/>
      </c>
      <c r="AQ214" s="2">
        <f>L214-K214-AI214-AE214-IF(AM214&gt;0;AM214;'_Настройки'!$B$9)-AP214-AC214</f>
        <v/>
      </c>
      <c r="AR214" s="3">
        <f>IF(L214&gt;0;AQ214/L214;"")</f>
        <v/>
      </c>
      <c r="AS214" s="3">
        <f>IF(K214&gt;0;AQ214/K214;"")</f>
        <v/>
      </c>
      <c r="AT214" s="2">
        <f>L214-K214-AL214-AE214-IF(AM214&gt;0;AM214;'_Настройки'!$B$9)-AP214-AC214</f>
        <v/>
      </c>
      <c r="AU214" s="3">
        <f>IF(L214&gt;0;AT214/L214;"")</f>
        <v/>
      </c>
      <c r="AV214" s="3">
        <f>IF(K214&gt;0;AT214/K214;"")</f>
        <v/>
      </c>
    </row>
    <row r="215">
      <c r="A215">
        <f>ROW()-1</f>
        <v/>
      </c>
      <c r="K215" s="2">
        <f>IFERROR(INDEX('_Цены_закупки'!$B:$B;MATCH(C215;'_Цены_закупки'!$A:$A;0));"")</f>
        <v/>
      </c>
      <c r="L215" s="2" t="n"/>
      <c r="M215" s="2" t="n"/>
      <c r="N215" s="3">
        <f>IF(AND(M215&gt;0;L215&gt;0);1-L215/M215;"")</f>
        <v/>
      </c>
      <c r="O215" s="2">
        <f>IF(OR(Q215="";K215=0);"";(K215+IF(AM215&gt;0;AM215;'_Настройки'!$B$9)+AP215+AC215+Q215*K215)/(1-AH215-AD215))</f>
        <v/>
      </c>
      <c r="P215" s="2">
        <f>IF(O215="";"";O215-K215-O215*AH215-O215*AD215-IF(AM215&gt;0;AM215;'_Настройки'!$B$9)-AP215-AC215)</f>
        <v/>
      </c>
      <c r="Q215" s="3">
        <f>IF(AND(O215&gt;0;K215&gt;0);P215/K215;"")</f>
        <v/>
      </c>
      <c r="R215" s="2">
        <f>IF(O215="";"";O215-K215-O215*AK215-O215*AD215-IF(AM215&gt;0;AM215;'_Настройки'!$B$9)-AP215-AC215)</f>
        <v/>
      </c>
      <c r="S215" s="3">
        <f>IF(AND(O215&gt;0;K215&gt;0);R215/K215;"")</f>
        <v/>
      </c>
      <c r="T215" s="2" t="n"/>
      <c r="U215" s="3">
        <f>IF(AND(L215&gt;0;T215&gt;0);1-T215/L215;"")</f>
        <v/>
      </c>
      <c r="V215" s="3">
        <f>'_Настройки'!$B$4</f>
        <v/>
      </c>
      <c r="Z215" s="4">
        <f>IF(AND(W215&gt;0;X215&gt;0;Y215&gt;0);W215*X215*Y215/1000;"")</f>
        <v/>
      </c>
      <c r="AB215" s="2">
        <f>('_Настройки'!$B$6+MAX(0;Z215-1)*'_Настройки'!$B$7)*IF(AA215&gt;0;AA215;'_Настройки'!$B$10)</f>
        <v/>
      </c>
      <c r="AC215" s="2">
        <f>AB215*(1+'_Настройки'!$B$8)</f>
        <v/>
      </c>
      <c r="AD215" s="3">
        <f>'_Настройки'!$B$2</f>
        <v/>
      </c>
      <c r="AE215" s="2">
        <f>L215*AD215</f>
        <v/>
      </c>
      <c r="AF215" s="3">
        <f>'_Настройки'!$B$3</f>
        <v/>
      </c>
      <c r="AG215" s="3">
        <f>IFERROR(INDEX('_Комиссия_ВБ'!$B:$B;MATCH(C215;'_Комиссия_ВБ'!$A:$A;0));0,245)</f>
        <v/>
      </c>
      <c r="AH215" s="3">
        <f>AG215+AF215</f>
        <v/>
      </c>
      <c r="AI215" s="2">
        <f>L215*AH215</f>
        <v/>
      </c>
      <c r="AJ215" s="3">
        <f>IFERROR(INDEX('_Комиссия_ВБ'!$C:$C;MATCH(C215;'_Комиссия_ВБ'!$A:$A;0));0,28)</f>
        <v/>
      </c>
      <c r="AK215" s="3">
        <f>AJ215+AF215</f>
        <v/>
      </c>
      <c r="AL215" s="2">
        <f>L215*AK215</f>
        <v/>
      </c>
      <c r="AM215" s="2" t="n"/>
      <c r="AO215" s="3">
        <f>'_Настройки'!$B$5</f>
        <v/>
      </c>
      <c r="AP215" s="2">
        <f>IF(K215&gt;0;K215*AO215;0)</f>
        <v/>
      </c>
      <c r="AQ215" s="2">
        <f>L215-K215-AI215-AE215-IF(AM215&gt;0;AM215;'_Настройки'!$B$9)-AP215-AC215</f>
        <v/>
      </c>
      <c r="AR215" s="3">
        <f>IF(L215&gt;0;AQ215/L215;"")</f>
        <v/>
      </c>
      <c r="AS215" s="3">
        <f>IF(K215&gt;0;AQ215/K215;"")</f>
        <v/>
      </c>
      <c r="AT215" s="2">
        <f>L215-K215-AL215-AE215-IF(AM215&gt;0;AM215;'_Настройки'!$B$9)-AP215-AC215</f>
        <v/>
      </c>
      <c r="AU215" s="3">
        <f>IF(L215&gt;0;AT215/L215;"")</f>
        <v/>
      </c>
      <c r="AV215" s="3">
        <f>IF(K215&gt;0;AT215/K215;"")</f>
        <v/>
      </c>
    </row>
    <row r="216">
      <c r="A216">
        <f>ROW()-1</f>
        <v/>
      </c>
      <c r="K216" s="2">
        <f>IFERROR(INDEX('_Цены_закупки'!$B:$B;MATCH(C216;'_Цены_закупки'!$A:$A;0));"")</f>
        <v/>
      </c>
      <c r="L216" s="2" t="n"/>
      <c r="M216" s="2" t="n"/>
      <c r="N216" s="3">
        <f>IF(AND(M216&gt;0;L216&gt;0);1-L216/M216;"")</f>
        <v/>
      </c>
      <c r="O216" s="2">
        <f>IF(OR(Q216="";K216=0);"";(K216+IF(AM216&gt;0;AM216;'_Настройки'!$B$9)+AP216+AC216+Q216*K216)/(1-AH216-AD216))</f>
        <v/>
      </c>
      <c r="P216" s="2">
        <f>IF(O216="";"";O216-K216-O216*AH216-O216*AD216-IF(AM216&gt;0;AM216;'_Настройки'!$B$9)-AP216-AC216)</f>
        <v/>
      </c>
      <c r="Q216" s="3">
        <f>IF(AND(O216&gt;0;K216&gt;0);P216/K216;"")</f>
        <v/>
      </c>
      <c r="R216" s="2">
        <f>IF(O216="";"";O216-K216-O216*AK216-O216*AD216-IF(AM216&gt;0;AM216;'_Настройки'!$B$9)-AP216-AC216)</f>
        <v/>
      </c>
      <c r="S216" s="3">
        <f>IF(AND(O216&gt;0;K216&gt;0);R216/K216;"")</f>
        <v/>
      </c>
      <c r="T216" s="2" t="n"/>
      <c r="U216" s="3">
        <f>IF(AND(L216&gt;0;T216&gt;0);1-T216/L216;"")</f>
        <v/>
      </c>
      <c r="V216" s="3">
        <f>'_Настройки'!$B$4</f>
        <v/>
      </c>
      <c r="Z216" s="4">
        <f>IF(AND(W216&gt;0;X216&gt;0;Y216&gt;0);W216*X216*Y216/1000;"")</f>
        <v/>
      </c>
      <c r="AB216" s="2">
        <f>('_Настройки'!$B$6+MAX(0;Z216-1)*'_Настройки'!$B$7)*IF(AA216&gt;0;AA216;'_Настройки'!$B$10)</f>
        <v/>
      </c>
      <c r="AC216" s="2">
        <f>AB216*(1+'_Настройки'!$B$8)</f>
        <v/>
      </c>
      <c r="AD216" s="3">
        <f>'_Настройки'!$B$2</f>
        <v/>
      </c>
      <c r="AE216" s="2">
        <f>L216*AD216</f>
        <v/>
      </c>
      <c r="AF216" s="3">
        <f>'_Настройки'!$B$3</f>
        <v/>
      </c>
      <c r="AG216" s="3">
        <f>IFERROR(INDEX('_Комиссия_ВБ'!$B:$B;MATCH(C216;'_Комиссия_ВБ'!$A:$A;0));0,245)</f>
        <v/>
      </c>
      <c r="AH216" s="3">
        <f>AG216+AF216</f>
        <v/>
      </c>
      <c r="AI216" s="2">
        <f>L216*AH216</f>
        <v/>
      </c>
      <c r="AJ216" s="3">
        <f>IFERROR(INDEX('_Комиссия_ВБ'!$C:$C;MATCH(C216;'_Комиссия_ВБ'!$A:$A;0));0,28)</f>
        <v/>
      </c>
      <c r="AK216" s="3">
        <f>AJ216+AF216</f>
        <v/>
      </c>
      <c r="AL216" s="2">
        <f>L216*AK216</f>
        <v/>
      </c>
      <c r="AM216" s="2" t="n"/>
      <c r="AO216" s="3">
        <f>'_Настройки'!$B$5</f>
        <v/>
      </c>
      <c r="AP216" s="2">
        <f>IF(K216&gt;0;K216*AO216;0)</f>
        <v/>
      </c>
      <c r="AQ216" s="2">
        <f>L216-K216-AI216-AE216-IF(AM216&gt;0;AM216;'_Настройки'!$B$9)-AP216-AC216</f>
        <v/>
      </c>
      <c r="AR216" s="3">
        <f>IF(L216&gt;0;AQ216/L216;"")</f>
        <v/>
      </c>
      <c r="AS216" s="3">
        <f>IF(K216&gt;0;AQ216/K216;"")</f>
        <v/>
      </c>
      <c r="AT216" s="2">
        <f>L216-K216-AL216-AE216-IF(AM216&gt;0;AM216;'_Настройки'!$B$9)-AP216-AC216</f>
        <v/>
      </c>
      <c r="AU216" s="3">
        <f>IF(L216&gt;0;AT216/L216;"")</f>
        <v/>
      </c>
      <c r="AV216" s="3">
        <f>IF(K216&gt;0;AT216/K216;"")</f>
        <v/>
      </c>
    </row>
    <row r="217">
      <c r="A217">
        <f>ROW()-1</f>
        <v/>
      </c>
      <c r="K217" s="2">
        <f>IFERROR(INDEX('_Цены_закупки'!$B:$B;MATCH(C217;'_Цены_закупки'!$A:$A;0));"")</f>
        <v/>
      </c>
      <c r="L217" s="2" t="n"/>
      <c r="M217" s="2" t="n"/>
      <c r="N217" s="3">
        <f>IF(AND(M217&gt;0;L217&gt;0);1-L217/M217;"")</f>
        <v/>
      </c>
      <c r="O217" s="2">
        <f>IF(OR(Q217="";K217=0);"";(K217+IF(AM217&gt;0;AM217;'_Настройки'!$B$9)+AP217+AC217+Q217*K217)/(1-AH217-AD217))</f>
        <v/>
      </c>
      <c r="P217" s="2">
        <f>IF(O217="";"";O217-K217-O217*AH217-O217*AD217-IF(AM217&gt;0;AM217;'_Настройки'!$B$9)-AP217-AC217)</f>
        <v/>
      </c>
      <c r="Q217" s="3">
        <f>IF(AND(O217&gt;0;K217&gt;0);P217/K217;"")</f>
        <v/>
      </c>
      <c r="R217" s="2">
        <f>IF(O217="";"";O217-K217-O217*AK217-O217*AD217-IF(AM217&gt;0;AM217;'_Настройки'!$B$9)-AP217-AC217)</f>
        <v/>
      </c>
      <c r="S217" s="3">
        <f>IF(AND(O217&gt;0;K217&gt;0);R217/K217;"")</f>
        <v/>
      </c>
      <c r="T217" s="2" t="n"/>
      <c r="U217" s="3">
        <f>IF(AND(L217&gt;0;T217&gt;0);1-T217/L217;"")</f>
        <v/>
      </c>
      <c r="V217" s="3">
        <f>'_Настройки'!$B$4</f>
        <v/>
      </c>
      <c r="Z217" s="4">
        <f>IF(AND(W217&gt;0;X217&gt;0;Y217&gt;0);W217*X217*Y217/1000;"")</f>
        <v/>
      </c>
      <c r="AB217" s="2">
        <f>('_Настройки'!$B$6+MAX(0;Z217-1)*'_Настройки'!$B$7)*IF(AA217&gt;0;AA217;'_Настройки'!$B$10)</f>
        <v/>
      </c>
      <c r="AC217" s="2">
        <f>AB217*(1+'_Настройки'!$B$8)</f>
        <v/>
      </c>
      <c r="AD217" s="3">
        <f>'_Настройки'!$B$2</f>
        <v/>
      </c>
      <c r="AE217" s="2">
        <f>L217*AD217</f>
        <v/>
      </c>
      <c r="AF217" s="3">
        <f>'_Настройки'!$B$3</f>
        <v/>
      </c>
      <c r="AG217" s="3">
        <f>IFERROR(INDEX('_Комиссия_ВБ'!$B:$B;MATCH(C217;'_Комиссия_ВБ'!$A:$A;0));0,245)</f>
        <v/>
      </c>
      <c r="AH217" s="3">
        <f>AG217+AF217</f>
        <v/>
      </c>
      <c r="AI217" s="2">
        <f>L217*AH217</f>
        <v/>
      </c>
      <c r="AJ217" s="3">
        <f>IFERROR(INDEX('_Комиссия_ВБ'!$C:$C;MATCH(C217;'_Комиссия_ВБ'!$A:$A;0));0,28)</f>
        <v/>
      </c>
      <c r="AK217" s="3">
        <f>AJ217+AF217</f>
        <v/>
      </c>
      <c r="AL217" s="2">
        <f>L217*AK217</f>
        <v/>
      </c>
      <c r="AM217" s="2" t="n"/>
      <c r="AO217" s="3">
        <f>'_Настройки'!$B$5</f>
        <v/>
      </c>
      <c r="AP217" s="2">
        <f>IF(K217&gt;0;K217*AO217;0)</f>
        <v/>
      </c>
      <c r="AQ217" s="2">
        <f>L217-K217-AI217-AE217-IF(AM217&gt;0;AM217;'_Настройки'!$B$9)-AP217-AC217</f>
        <v/>
      </c>
      <c r="AR217" s="3">
        <f>IF(L217&gt;0;AQ217/L217;"")</f>
        <v/>
      </c>
      <c r="AS217" s="3">
        <f>IF(K217&gt;0;AQ217/K217;"")</f>
        <v/>
      </c>
      <c r="AT217" s="2">
        <f>L217-K217-AL217-AE217-IF(AM217&gt;0;AM217;'_Настройки'!$B$9)-AP217-AC217</f>
        <v/>
      </c>
      <c r="AU217" s="3">
        <f>IF(L217&gt;0;AT217/L217;"")</f>
        <v/>
      </c>
      <c r="AV217" s="3">
        <f>IF(K217&gt;0;AT217/K217;"")</f>
        <v/>
      </c>
    </row>
    <row r="218">
      <c r="A218">
        <f>ROW()-1</f>
        <v/>
      </c>
      <c r="K218" s="2">
        <f>IFERROR(INDEX('_Цены_закупки'!$B:$B;MATCH(C218;'_Цены_закупки'!$A:$A;0));"")</f>
        <v/>
      </c>
      <c r="L218" s="2" t="n"/>
      <c r="M218" s="2" t="n"/>
      <c r="N218" s="3">
        <f>IF(AND(M218&gt;0;L218&gt;0);1-L218/M218;"")</f>
        <v/>
      </c>
      <c r="O218" s="2">
        <f>IF(OR(Q218="";K218=0);"";(K218+IF(AM218&gt;0;AM218;'_Настройки'!$B$9)+AP218+AC218+Q218*K218)/(1-AH218-AD218))</f>
        <v/>
      </c>
      <c r="P218" s="2">
        <f>IF(O218="";"";O218-K218-O218*AH218-O218*AD218-IF(AM218&gt;0;AM218;'_Настройки'!$B$9)-AP218-AC218)</f>
        <v/>
      </c>
      <c r="Q218" s="3">
        <f>IF(AND(O218&gt;0;K218&gt;0);P218/K218;"")</f>
        <v/>
      </c>
      <c r="R218" s="2">
        <f>IF(O218="";"";O218-K218-O218*AK218-O218*AD218-IF(AM218&gt;0;AM218;'_Настройки'!$B$9)-AP218-AC218)</f>
        <v/>
      </c>
      <c r="S218" s="3">
        <f>IF(AND(O218&gt;0;K218&gt;0);R218/K218;"")</f>
        <v/>
      </c>
      <c r="T218" s="2" t="n"/>
      <c r="U218" s="3">
        <f>IF(AND(L218&gt;0;T218&gt;0);1-T218/L218;"")</f>
        <v/>
      </c>
      <c r="V218" s="3">
        <f>'_Настройки'!$B$4</f>
        <v/>
      </c>
      <c r="Z218" s="4">
        <f>IF(AND(W218&gt;0;X218&gt;0;Y218&gt;0);W218*X218*Y218/1000;"")</f>
        <v/>
      </c>
      <c r="AB218" s="2">
        <f>('_Настройки'!$B$6+MAX(0;Z218-1)*'_Настройки'!$B$7)*IF(AA218&gt;0;AA218;'_Настройки'!$B$10)</f>
        <v/>
      </c>
      <c r="AC218" s="2">
        <f>AB218*(1+'_Настройки'!$B$8)</f>
        <v/>
      </c>
      <c r="AD218" s="3">
        <f>'_Настройки'!$B$2</f>
        <v/>
      </c>
      <c r="AE218" s="2">
        <f>L218*AD218</f>
        <v/>
      </c>
      <c r="AF218" s="3">
        <f>'_Настройки'!$B$3</f>
        <v/>
      </c>
      <c r="AG218" s="3">
        <f>IFERROR(INDEX('_Комиссия_ВБ'!$B:$B;MATCH(C218;'_Комиссия_ВБ'!$A:$A;0));0,245)</f>
        <v/>
      </c>
      <c r="AH218" s="3">
        <f>AG218+AF218</f>
        <v/>
      </c>
      <c r="AI218" s="2">
        <f>L218*AH218</f>
        <v/>
      </c>
      <c r="AJ218" s="3">
        <f>IFERROR(INDEX('_Комиссия_ВБ'!$C:$C;MATCH(C218;'_Комиссия_ВБ'!$A:$A;0));0,28)</f>
        <v/>
      </c>
      <c r="AK218" s="3">
        <f>AJ218+AF218</f>
        <v/>
      </c>
      <c r="AL218" s="2">
        <f>L218*AK218</f>
        <v/>
      </c>
      <c r="AM218" s="2" t="n"/>
      <c r="AO218" s="3">
        <f>'_Настройки'!$B$5</f>
        <v/>
      </c>
      <c r="AP218" s="2">
        <f>IF(K218&gt;0;K218*AO218;0)</f>
        <v/>
      </c>
      <c r="AQ218" s="2">
        <f>L218-K218-AI218-AE218-IF(AM218&gt;0;AM218;'_Настройки'!$B$9)-AP218-AC218</f>
        <v/>
      </c>
      <c r="AR218" s="3">
        <f>IF(L218&gt;0;AQ218/L218;"")</f>
        <v/>
      </c>
      <c r="AS218" s="3">
        <f>IF(K218&gt;0;AQ218/K218;"")</f>
        <v/>
      </c>
      <c r="AT218" s="2">
        <f>L218-K218-AL218-AE218-IF(AM218&gt;0;AM218;'_Настройки'!$B$9)-AP218-AC218</f>
        <v/>
      </c>
      <c r="AU218" s="3">
        <f>IF(L218&gt;0;AT218/L218;"")</f>
        <v/>
      </c>
      <c r="AV218" s="3">
        <f>IF(K218&gt;0;AT218/K218;"")</f>
        <v/>
      </c>
    </row>
    <row r="219">
      <c r="A219">
        <f>ROW()-1</f>
        <v/>
      </c>
      <c r="K219" s="2">
        <f>IFERROR(INDEX('_Цены_закупки'!$B:$B;MATCH(C219;'_Цены_закупки'!$A:$A;0));"")</f>
        <v/>
      </c>
      <c r="L219" s="2" t="n"/>
      <c r="M219" s="2" t="n"/>
      <c r="N219" s="3">
        <f>IF(AND(M219&gt;0;L219&gt;0);1-L219/M219;"")</f>
        <v/>
      </c>
      <c r="O219" s="2">
        <f>IF(OR(Q219="";K219=0);"";(K219+IF(AM219&gt;0;AM219;'_Настройки'!$B$9)+AP219+AC219+Q219*K219)/(1-AH219-AD219))</f>
        <v/>
      </c>
      <c r="P219" s="2">
        <f>IF(O219="";"";O219-K219-O219*AH219-O219*AD219-IF(AM219&gt;0;AM219;'_Настройки'!$B$9)-AP219-AC219)</f>
        <v/>
      </c>
      <c r="Q219" s="3">
        <f>IF(AND(O219&gt;0;K219&gt;0);P219/K219;"")</f>
        <v/>
      </c>
      <c r="R219" s="2">
        <f>IF(O219="";"";O219-K219-O219*AK219-O219*AD219-IF(AM219&gt;0;AM219;'_Настройки'!$B$9)-AP219-AC219)</f>
        <v/>
      </c>
      <c r="S219" s="3">
        <f>IF(AND(O219&gt;0;K219&gt;0);R219/K219;"")</f>
        <v/>
      </c>
      <c r="T219" s="2" t="n"/>
      <c r="U219" s="3">
        <f>IF(AND(L219&gt;0;T219&gt;0);1-T219/L219;"")</f>
        <v/>
      </c>
      <c r="V219" s="3">
        <f>'_Настройки'!$B$4</f>
        <v/>
      </c>
      <c r="Z219" s="4">
        <f>IF(AND(W219&gt;0;X219&gt;0;Y219&gt;0);W219*X219*Y219/1000;"")</f>
        <v/>
      </c>
      <c r="AB219" s="2">
        <f>('_Настройки'!$B$6+MAX(0;Z219-1)*'_Настройки'!$B$7)*IF(AA219&gt;0;AA219;'_Настройки'!$B$10)</f>
        <v/>
      </c>
      <c r="AC219" s="2">
        <f>AB219*(1+'_Настройки'!$B$8)</f>
        <v/>
      </c>
      <c r="AD219" s="3">
        <f>'_Настройки'!$B$2</f>
        <v/>
      </c>
      <c r="AE219" s="2">
        <f>L219*AD219</f>
        <v/>
      </c>
      <c r="AF219" s="3">
        <f>'_Настройки'!$B$3</f>
        <v/>
      </c>
      <c r="AG219" s="3">
        <f>IFERROR(INDEX('_Комиссия_ВБ'!$B:$B;MATCH(C219;'_Комиссия_ВБ'!$A:$A;0));0,245)</f>
        <v/>
      </c>
      <c r="AH219" s="3">
        <f>AG219+AF219</f>
        <v/>
      </c>
      <c r="AI219" s="2">
        <f>L219*AH219</f>
        <v/>
      </c>
      <c r="AJ219" s="3">
        <f>IFERROR(INDEX('_Комиссия_ВБ'!$C:$C;MATCH(C219;'_Комиссия_ВБ'!$A:$A;0));0,28)</f>
        <v/>
      </c>
      <c r="AK219" s="3">
        <f>AJ219+AF219</f>
        <v/>
      </c>
      <c r="AL219" s="2">
        <f>L219*AK219</f>
        <v/>
      </c>
      <c r="AM219" s="2" t="n"/>
      <c r="AO219" s="3">
        <f>'_Настройки'!$B$5</f>
        <v/>
      </c>
      <c r="AP219" s="2">
        <f>IF(K219&gt;0;K219*AO219;0)</f>
        <v/>
      </c>
      <c r="AQ219" s="2">
        <f>L219-K219-AI219-AE219-IF(AM219&gt;0;AM219;'_Настройки'!$B$9)-AP219-AC219</f>
        <v/>
      </c>
      <c r="AR219" s="3">
        <f>IF(L219&gt;0;AQ219/L219;"")</f>
        <v/>
      </c>
      <c r="AS219" s="3">
        <f>IF(K219&gt;0;AQ219/K219;"")</f>
        <v/>
      </c>
      <c r="AT219" s="2">
        <f>L219-K219-AL219-AE219-IF(AM219&gt;0;AM219;'_Настройки'!$B$9)-AP219-AC219</f>
        <v/>
      </c>
      <c r="AU219" s="3">
        <f>IF(L219&gt;0;AT219/L219;"")</f>
        <v/>
      </c>
      <c r="AV219" s="3">
        <f>IF(K219&gt;0;AT219/K219;"")</f>
        <v/>
      </c>
    </row>
    <row r="220">
      <c r="A220">
        <f>ROW()-1</f>
        <v/>
      </c>
      <c r="K220" s="2">
        <f>IFERROR(INDEX('_Цены_закупки'!$B:$B;MATCH(C220;'_Цены_закупки'!$A:$A;0));"")</f>
        <v/>
      </c>
      <c r="L220" s="2" t="n"/>
      <c r="M220" s="2" t="n"/>
      <c r="N220" s="3">
        <f>IF(AND(M220&gt;0;L220&gt;0);1-L220/M220;"")</f>
        <v/>
      </c>
      <c r="O220" s="2">
        <f>IF(OR(Q220="";K220=0);"";(K220+IF(AM220&gt;0;AM220;'_Настройки'!$B$9)+AP220+AC220+Q220*K220)/(1-AH220-AD220))</f>
        <v/>
      </c>
      <c r="P220" s="2">
        <f>IF(O220="";"";O220-K220-O220*AH220-O220*AD220-IF(AM220&gt;0;AM220;'_Настройки'!$B$9)-AP220-AC220)</f>
        <v/>
      </c>
      <c r="Q220" s="3">
        <f>IF(AND(O220&gt;0;K220&gt;0);P220/K220;"")</f>
        <v/>
      </c>
      <c r="R220" s="2">
        <f>IF(O220="";"";O220-K220-O220*AK220-O220*AD220-IF(AM220&gt;0;AM220;'_Настройки'!$B$9)-AP220-AC220)</f>
        <v/>
      </c>
      <c r="S220" s="3">
        <f>IF(AND(O220&gt;0;K220&gt;0);R220/K220;"")</f>
        <v/>
      </c>
      <c r="T220" s="2" t="n"/>
      <c r="U220" s="3">
        <f>IF(AND(L220&gt;0;T220&gt;0);1-T220/L220;"")</f>
        <v/>
      </c>
      <c r="V220" s="3">
        <f>'_Настройки'!$B$4</f>
        <v/>
      </c>
      <c r="Z220" s="4">
        <f>IF(AND(W220&gt;0;X220&gt;0;Y220&gt;0);W220*X220*Y220/1000;"")</f>
        <v/>
      </c>
      <c r="AB220" s="2">
        <f>('_Настройки'!$B$6+MAX(0;Z220-1)*'_Настройки'!$B$7)*IF(AA220&gt;0;AA220;'_Настройки'!$B$10)</f>
        <v/>
      </c>
      <c r="AC220" s="2">
        <f>AB220*(1+'_Настройки'!$B$8)</f>
        <v/>
      </c>
      <c r="AD220" s="3">
        <f>'_Настройки'!$B$2</f>
        <v/>
      </c>
      <c r="AE220" s="2">
        <f>L220*AD220</f>
        <v/>
      </c>
      <c r="AF220" s="3">
        <f>'_Настройки'!$B$3</f>
        <v/>
      </c>
      <c r="AG220" s="3">
        <f>IFERROR(INDEX('_Комиссия_ВБ'!$B:$B;MATCH(C220;'_Комиссия_ВБ'!$A:$A;0));0,245)</f>
        <v/>
      </c>
      <c r="AH220" s="3">
        <f>AG220+AF220</f>
        <v/>
      </c>
      <c r="AI220" s="2">
        <f>L220*AH220</f>
        <v/>
      </c>
      <c r="AJ220" s="3">
        <f>IFERROR(INDEX('_Комиссия_ВБ'!$C:$C;MATCH(C220;'_Комиссия_ВБ'!$A:$A;0));0,28)</f>
        <v/>
      </c>
      <c r="AK220" s="3">
        <f>AJ220+AF220</f>
        <v/>
      </c>
      <c r="AL220" s="2">
        <f>L220*AK220</f>
        <v/>
      </c>
      <c r="AM220" s="2" t="n"/>
      <c r="AO220" s="3">
        <f>'_Настройки'!$B$5</f>
        <v/>
      </c>
      <c r="AP220" s="2">
        <f>IF(K220&gt;0;K220*AO220;0)</f>
        <v/>
      </c>
      <c r="AQ220" s="2">
        <f>L220-K220-AI220-AE220-IF(AM220&gt;0;AM220;'_Настройки'!$B$9)-AP220-AC220</f>
        <v/>
      </c>
      <c r="AR220" s="3">
        <f>IF(L220&gt;0;AQ220/L220;"")</f>
        <v/>
      </c>
      <c r="AS220" s="3">
        <f>IF(K220&gt;0;AQ220/K220;"")</f>
        <v/>
      </c>
      <c r="AT220" s="2">
        <f>L220-K220-AL220-AE220-IF(AM220&gt;0;AM220;'_Настройки'!$B$9)-AP220-AC220</f>
        <v/>
      </c>
      <c r="AU220" s="3">
        <f>IF(L220&gt;0;AT220/L220;"")</f>
        <v/>
      </c>
      <c r="AV220" s="3">
        <f>IF(K220&gt;0;AT220/K220;"")</f>
        <v/>
      </c>
    </row>
    <row r="221">
      <c r="A221">
        <f>ROW()-1</f>
        <v/>
      </c>
      <c r="K221" s="2">
        <f>IFERROR(INDEX('_Цены_закупки'!$B:$B;MATCH(C221;'_Цены_закупки'!$A:$A;0));"")</f>
        <v/>
      </c>
      <c r="L221" s="2" t="n"/>
      <c r="M221" s="2" t="n"/>
      <c r="N221" s="3">
        <f>IF(AND(M221&gt;0;L221&gt;0);1-L221/M221;"")</f>
        <v/>
      </c>
      <c r="O221" s="2">
        <f>IF(OR(Q221="";K221=0);"";(K221+IF(AM221&gt;0;AM221;'_Настройки'!$B$9)+AP221+AC221+Q221*K221)/(1-AH221-AD221))</f>
        <v/>
      </c>
      <c r="P221" s="2">
        <f>IF(O221="";"";O221-K221-O221*AH221-O221*AD221-IF(AM221&gt;0;AM221;'_Настройки'!$B$9)-AP221-AC221)</f>
        <v/>
      </c>
      <c r="Q221" s="3">
        <f>IF(AND(O221&gt;0;K221&gt;0);P221/K221;"")</f>
        <v/>
      </c>
      <c r="R221" s="2">
        <f>IF(O221="";"";O221-K221-O221*AK221-O221*AD221-IF(AM221&gt;0;AM221;'_Настройки'!$B$9)-AP221-AC221)</f>
        <v/>
      </c>
      <c r="S221" s="3">
        <f>IF(AND(O221&gt;0;K221&gt;0);R221/K221;"")</f>
        <v/>
      </c>
      <c r="T221" s="2" t="n"/>
      <c r="U221" s="3">
        <f>IF(AND(L221&gt;0;T221&gt;0);1-T221/L221;"")</f>
        <v/>
      </c>
      <c r="V221" s="3">
        <f>'_Настройки'!$B$4</f>
        <v/>
      </c>
      <c r="Z221" s="4">
        <f>IF(AND(W221&gt;0;X221&gt;0;Y221&gt;0);W221*X221*Y221/1000;"")</f>
        <v/>
      </c>
      <c r="AB221" s="2">
        <f>('_Настройки'!$B$6+MAX(0;Z221-1)*'_Настройки'!$B$7)*IF(AA221&gt;0;AA221;'_Настройки'!$B$10)</f>
        <v/>
      </c>
      <c r="AC221" s="2">
        <f>AB221*(1+'_Настройки'!$B$8)</f>
        <v/>
      </c>
      <c r="AD221" s="3">
        <f>'_Настройки'!$B$2</f>
        <v/>
      </c>
      <c r="AE221" s="2">
        <f>L221*AD221</f>
        <v/>
      </c>
      <c r="AF221" s="3">
        <f>'_Настройки'!$B$3</f>
        <v/>
      </c>
      <c r="AG221" s="3">
        <f>IFERROR(INDEX('_Комиссия_ВБ'!$B:$B;MATCH(C221;'_Комиссия_ВБ'!$A:$A;0));0,245)</f>
        <v/>
      </c>
      <c r="AH221" s="3">
        <f>AG221+AF221</f>
        <v/>
      </c>
      <c r="AI221" s="2">
        <f>L221*AH221</f>
        <v/>
      </c>
      <c r="AJ221" s="3">
        <f>IFERROR(INDEX('_Комиссия_ВБ'!$C:$C;MATCH(C221;'_Комиссия_ВБ'!$A:$A;0));0,28)</f>
        <v/>
      </c>
      <c r="AK221" s="3">
        <f>AJ221+AF221</f>
        <v/>
      </c>
      <c r="AL221" s="2">
        <f>L221*AK221</f>
        <v/>
      </c>
      <c r="AM221" s="2" t="n"/>
      <c r="AO221" s="3">
        <f>'_Настройки'!$B$5</f>
        <v/>
      </c>
      <c r="AP221" s="2">
        <f>IF(K221&gt;0;K221*AO221;0)</f>
        <v/>
      </c>
      <c r="AQ221" s="2">
        <f>L221-K221-AI221-AE221-IF(AM221&gt;0;AM221;'_Настройки'!$B$9)-AP221-AC221</f>
        <v/>
      </c>
      <c r="AR221" s="3">
        <f>IF(L221&gt;0;AQ221/L221;"")</f>
        <v/>
      </c>
      <c r="AS221" s="3">
        <f>IF(K221&gt;0;AQ221/K221;"")</f>
        <v/>
      </c>
      <c r="AT221" s="2">
        <f>L221-K221-AL221-AE221-IF(AM221&gt;0;AM221;'_Настройки'!$B$9)-AP221-AC221</f>
        <v/>
      </c>
      <c r="AU221" s="3">
        <f>IF(L221&gt;0;AT221/L221;"")</f>
        <v/>
      </c>
      <c r="AV221" s="3">
        <f>IF(K221&gt;0;AT221/K221;"")</f>
        <v/>
      </c>
    </row>
    <row r="222">
      <c r="A222">
        <f>ROW()-1</f>
        <v/>
      </c>
      <c r="K222" s="2">
        <f>IFERROR(INDEX('_Цены_закупки'!$B:$B;MATCH(C222;'_Цены_закупки'!$A:$A;0));"")</f>
        <v/>
      </c>
      <c r="L222" s="2" t="n"/>
      <c r="M222" s="2" t="n"/>
      <c r="N222" s="3">
        <f>IF(AND(M222&gt;0;L222&gt;0);1-L222/M222;"")</f>
        <v/>
      </c>
      <c r="O222" s="2">
        <f>IF(OR(Q222="";K222=0);"";(K222+IF(AM222&gt;0;AM222;'_Настройки'!$B$9)+AP222+AC222+Q222*K222)/(1-AH222-AD222))</f>
        <v/>
      </c>
      <c r="P222" s="2">
        <f>IF(O222="";"";O222-K222-O222*AH222-O222*AD222-IF(AM222&gt;0;AM222;'_Настройки'!$B$9)-AP222-AC222)</f>
        <v/>
      </c>
      <c r="Q222" s="3">
        <f>IF(AND(O222&gt;0;K222&gt;0);P222/K222;"")</f>
        <v/>
      </c>
      <c r="R222" s="2">
        <f>IF(O222="";"";O222-K222-O222*AK222-O222*AD222-IF(AM222&gt;0;AM222;'_Настройки'!$B$9)-AP222-AC222)</f>
        <v/>
      </c>
      <c r="S222" s="3">
        <f>IF(AND(O222&gt;0;K222&gt;0);R222/K222;"")</f>
        <v/>
      </c>
      <c r="T222" s="2" t="n"/>
      <c r="U222" s="3">
        <f>IF(AND(L222&gt;0;T222&gt;0);1-T222/L222;"")</f>
        <v/>
      </c>
      <c r="V222" s="3">
        <f>'_Настройки'!$B$4</f>
        <v/>
      </c>
      <c r="Z222" s="4">
        <f>IF(AND(W222&gt;0;X222&gt;0;Y222&gt;0);W222*X222*Y222/1000;"")</f>
        <v/>
      </c>
      <c r="AB222" s="2">
        <f>('_Настройки'!$B$6+MAX(0;Z222-1)*'_Настройки'!$B$7)*IF(AA222&gt;0;AA222;'_Настройки'!$B$10)</f>
        <v/>
      </c>
      <c r="AC222" s="2">
        <f>AB222*(1+'_Настройки'!$B$8)</f>
        <v/>
      </c>
      <c r="AD222" s="3">
        <f>'_Настройки'!$B$2</f>
        <v/>
      </c>
      <c r="AE222" s="2">
        <f>L222*AD222</f>
        <v/>
      </c>
      <c r="AF222" s="3">
        <f>'_Настройки'!$B$3</f>
        <v/>
      </c>
      <c r="AG222" s="3">
        <f>IFERROR(INDEX('_Комиссия_ВБ'!$B:$B;MATCH(C222;'_Комиссия_ВБ'!$A:$A;0));0,245)</f>
        <v/>
      </c>
      <c r="AH222" s="3">
        <f>AG222+AF222</f>
        <v/>
      </c>
      <c r="AI222" s="2">
        <f>L222*AH222</f>
        <v/>
      </c>
      <c r="AJ222" s="3">
        <f>IFERROR(INDEX('_Комиссия_ВБ'!$C:$C;MATCH(C222;'_Комиссия_ВБ'!$A:$A;0));0,28)</f>
        <v/>
      </c>
      <c r="AK222" s="3">
        <f>AJ222+AF222</f>
        <v/>
      </c>
      <c r="AL222" s="2">
        <f>L222*AK222</f>
        <v/>
      </c>
      <c r="AM222" s="2" t="n"/>
      <c r="AO222" s="3">
        <f>'_Настройки'!$B$5</f>
        <v/>
      </c>
      <c r="AP222" s="2">
        <f>IF(K222&gt;0;K222*AO222;0)</f>
        <v/>
      </c>
      <c r="AQ222" s="2">
        <f>L222-K222-AI222-AE222-IF(AM222&gt;0;AM222;'_Настройки'!$B$9)-AP222-AC222</f>
        <v/>
      </c>
      <c r="AR222" s="3">
        <f>IF(L222&gt;0;AQ222/L222;"")</f>
        <v/>
      </c>
      <c r="AS222" s="3">
        <f>IF(K222&gt;0;AQ222/K222;"")</f>
        <v/>
      </c>
      <c r="AT222" s="2">
        <f>L222-K222-AL222-AE222-IF(AM222&gt;0;AM222;'_Настройки'!$B$9)-AP222-AC222</f>
        <v/>
      </c>
      <c r="AU222" s="3">
        <f>IF(L222&gt;0;AT222/L222;"")</f>
        <v/>
      </c>
      <c r="AV222" s="3">
        <f>IF(K222&gt;0;AT222/K222;"")</f>
        <v/>
      </c>
    </row>
    <row r="223">
      <c r="A223">
        <f>ROW()-1</f>
        <v/>
      </c>
      <c r="K223" s="2">
        <f>IFERROR(INDEX('_Цены_закупки'!$B:$B;MATCH(C223;'_Цены_закупки'!$A:$A;0));"")</f>
        <v/>
      </c>
      <c r="L223" s="2" t="n"/>
      <c r="M223" s="2" t="n"/>
      <c r="N223" s="3">
        <f>IF(AND(M223&gt;0;L223&gt;0);1-L223/M223;"")</f>
        <v/>
      </c>
      <c r="O223" s="2">
        <f>IF(OR(Q223="";K223=0);"";(K223+IF(AM223&gt;0;AM223;'_Настройки'!$B$9)+AP223+AC223+Q223*K223)/(1-AH223-AD223))</f>
        <v/>
      </c>
      <c r="P223" s="2">
        <f>IF(O223="";"";O223-K223-O223*AH223-O223*AD223-IF(AM223&gt;0;AM223;'_Настройки'!$B$9)-AP223-AC223)</f>
        <v/>
      </c>
      <c r="Q223" s="3">
        <f>IF(AND(O223&gt;0;K223&gt;0);P223/K223;"")</f>
        <v/>
      </c>
      <c r="R223" s="2">
        <f>IF(O223="";"";O223-K223-O223*AK223-O223*AD223-IF(AM223&gt;0;AM223;'_Настройки'!$B$9)-AP223-AC223)</f>
        <v/>
      </c>
      <c r="S223" s="3">
        <f>IF(AND(O223&gt;0;K223&gt;0);R223/K223;"")</f>
        <v/>
      </c>
      <c r="T223" s="2" t="n"/>
      <c r="U223" s="3">
        <f>IF(AND(L223&gt;0;T223&gt;0);1-T223/L223;"")</f>
        <v/>
      </c>
      <c r="V223" s="3">
        <f>'_Настройки'!$B$4</f>
        <v/>
      </c>
      <c r="Z223" s="4">
        <f>IF(AND(W223&gt;0;X223&gt;0;Y223&gt;0);W223*X223*Y223/1000;"")</f>
        <v/>
      </c>
      <c r="AB223" s="2">
        <f>('_Настройки'!$B$6+MAX(0;Z223-1)*'_Настройки'!$B$7)*IF(AA223&gt;0;AA223;'_Настройки'!$B$10)</f>
        <v/>
      </c>
      <c r="AC223" s="2">
        <f>AB223*(1+'_Настройки'!$B$8)</f>
        <v/>
      </c>
      <c r="AD223" s="3">
        <f>'_Настройки'!$B$2</f>
        <v/>
      </c>
      <c r="AE223" s="2">
        <f>L223*AD223</f>
        <v/>
      </c>
      <c r="AF223" s="3">
        <f>'_Настройки'!$B$3</f>
        <v/>
      </c>
      <c r="AG223" s="3">
        <f>IFERROR(INDEX('_Комиссия_ВБ'!$B:$B;MATCH(C223;'_Комиссия_ВБ'!$A:$A;0));0,245)</f>
        <v/>
      </c>
      <c r="AH223" s="3">
        <f>AG223+AF223</f>
        <v/>
      </c>
      <c r="AI223" s="2">
        <f>L223*AH223</f>
        <v/>
      </c>
      <c r="AJ223" s="3">
        <f>IFERROR(INDEX('_Комиссия_ВБ'!$C:$C;MATCH(C223;'_Комиссия_ВБ'!$A:$A;0));0,28)</f>
        <v/>
      </c>
      <c r="AK223" s="3">
        <f>AJ223+AF223</f>
        <v/>
      </c>
      <c r="AL223" s="2">
        <f>L223*AK223</f>
        <v/>
      </c>
      <c r="AM223" s="2" t="n"/>
      <c r="AO223" s="3">
        <f>'_Настройки'!$B$5</f>
        <v/>
      </c>
      <c r="AP223" s="2">
        <f>IF(K223&gt;0;K223*AO223;0)</f>
        <v/>
      </c>
      <c r="AQ223" s="2">
        <f>L223-K223-AI223-AE223-IF(AM223&gt;0;AM223;'_Настройки'!$B$9)-AP223-AC223</f>
        <v/>
      </c>
      <c r="AR223" s="3">
        <f>IF(L223&gt;0;AQ223/L223;"")</f>
        <v/>
      </c>
      <c r="AS223" s="3">
        <f>IF(K223&gt;0;AQ223/K223;"")</f>
        <v/>
      </c>
      <c r="AT223" s="2">
        <f>L223-K223-AL223-AE223-IF(AM223&gt;0;AM223;'_Настройки'!$B$9)-AP223-AC223</f>
        <v/>
      </c>
      <c r="AU223" s="3">
        <f>IF(L223&gt;0;AT223/L223;"")</f>
        <v/>
      </c>
      <c r="AV223" s="3">
        <f>IF(K223&gt;0;AT223/K223;"")</f>
        <v/>
      </c>
    </row>
    <row r="224">
      <c r="A224">
        <f>ROW()-1</f>
        <v/>
      </c>
      <c r="K224" s="2">
        <f>IFERROR(INDEX('_Цены_закупки'!$B:$B;MATCH(C224;'_Цены_закупки'!$A:$A;0));"")</f>
        <v/>
      </c>
      <c r="L224" s="2" t="n"/>
      <c r="M224" s="2" t="n"/>
      <c r="N224" s="3">
        <f>IF(AND(M224&gt;0;L224&gt;0);1-L224/M224;"")</f>
        <v/>
      </c>
      <c r="O224" s="2">
        <f>IF(OR(Q224="";K224=0);"";(K224+IF(AM224&gt;0;AM224;'_Настройки'!$B$9)+AP224+AC224+Q224*K224)/(1-AH224-AD224))</f>
        <v/>
      </c>
      <c r="P224" s="2">
        <f>IF(O224="";"";O224-K224-O224*AH224-O224*AD224-IF(AM224&gt;0;AM224;'_Настройки'!$B$9)-AP224-AC224)</f>
        <v/>
      </c>
      <c r="Q224" s="3">
        <f>IF(AND(O224&gt;0;K224&gt;0);P224/K224;"")</f>
        <v/>
      </c>
      <c r="R224" s="2">
        <f>IF(O224="";"";O224-K224-O224*AK224-O224*AD224-IF(AM224&gt;0;AM224;'_Настройки'!$B$9)-AP224-AC224)</f>
        <v/>
      </c>
      <c r="S224" s="3">
        <f>IF(AND(O224&gt;0;K224&gt;0);R224/K224;"")</f>
        <v/>
      </c>
      <c r="T224" s="2" t="n"/>
      <c r="U224" s="3">
        <f>IF(AND(L224&gt;0;T224&gt;0);1-T224/L224;"")</f>
        <v/>
      </c>
      <c r="V224" s="3">
        <f>'_Настройки'!$B$4</f>
        <v/>
      </c>
      <c r="Z224" s="4">
        <f>IF(AND(W224&gt;0;X224&gt;0;Y224&gt;0);W224*X224*Y224/1000;"")</f>
        <v/>
      </c>
      <c r="AB224" s="2">
        <f>('_Настройки'!$B$6+MAX(0;Z224-1)*'_Настройки'!$B$7)*IF(AA224&gt;0;AA224;'_Настройки'!$B$10)</f>
        <v/>
      </c>
      <c r="AC224" s="2">
        <f>AB224*(1+'_Настройки'!$B$8)</f>
        <v/>
      </c>
      <c r="AD224" s="3">
        <f>'_Настройки'!$B$2</f>
        <v/>
      </c>
      <c r="AE224" s="2">
        <f>L224*AD224</f>
        <v/>
      </c>
      <c r="AF224" s="3">
        <f>'_Настройки'!$B$3</f>
        <v/>
      </c>
      <c r="AG224" s="3">
        <f>IFERROR(INDEX('_Комиссия_ВБ'!$B:$B;MATCH(C224;'_Комиссия_ВБ'!$A:$A;0));0,245)</f>
        <v/>
      </c>
      <c r="AH224" s="3">
        <f>AG224+AF224</f>
        <v/>
      </c>
      <c r="AI224" s="2">
        <f>L224*AH224</f>
        <v/>
      </c>
      <c r="AJ224" s="3">
        <f>IFERROR(INDEX('_Комиссия_ВБ'!$C:$C;MATCH(C224;'_Комиссия_ВБ'!$A:$A;0));0,28)</f>
        <v/>
      </c>
      <c r="AK224" s="3">
        <f>AJ224+AF224</f>
        <v/>
      </c>
      <c r="AL224" s="2">
        <f>L224*AK224</f>
        <v/>
      </c>
      <c r="AM224" s="2" t="n"/>
      <c r="AO224" s="3">
        <f>'_Настройки'!$B$5</f>
        <v/>
      </c>
      <c r="AP224" s="2">
        <f>IF(K224&gt;0;K224*AO224;0)</f>
        <v/>
      </c>
      <c r="AQ224" s="2">
        <f>L224-K224-AI224-AE224-IF(AM224&gt;0;AM224;'_Настройки'!$B$9)-AP224-AC224</f>
        <v/>
      </c>
      <c r="AR224" s="3">
        <f>IF(L224&gt;0;AQ224/L224;"")</f>
        <v/>
      </c>
      <c r="AS224" s="3">
        <f>IF(K224&gt;0;AQ224/K224;"")</f>
        <v/>
      </c>
      <c r="AT224" s="2">
        <f>L224-K224-AL224-AE224-IF(AM224&gt;0;AM224;'_Настройки'!$B$9)-AP224-AC224</f>
        <v/>
      </c>
      <c r="AU224" s="3">
        <f>IF(L224&gt;0;AT224/L224;"")</f>
        <v/>
      </c>
      <c r="AV224" s="3">
        <f>IF(K224&gt;0;AT224/K224;"")</f>
        <v/>
      </c>
    </row>
    <row r="225">
      <c r="A225">
        <f>ROW()-1</f>
        <v/>
      </c>
      <c r="K225" s="2">
        <f>IFERROR(INDEX('_Цены_закупки'!$B:$B;MATCH(C225;'_Цены_закупки'!$A:$A;0));"")</f>
        <v/>
      </c>
      <c r="L225" s="2" t="n"/>
      <c r="M225" s="2" t="n"/>
      <c r="N225" s="3">
        <f>IF(AND(M225&gt;0;L225&gt;0);1-L225/M225;"")</f>
        <v/>
      </c>
      <c r="O225" s="2">
        <f>IF(OR(Q225="";K225=0);"";(K225+IF(AM225&gt;0;AM225;'_Настройки'!$B$9)+AP225+AC225+Q225*K225)/(1-AH225-AD225))</f>
        <v/>
      </c>
      <c r="P225" s="2">
        <f>IF(O225="";"";O225-K225-O225*AH225-O225*AD225-IF(AM225&gt;0;AM225;'_Настройки'!$B$9)-AP225-AC225)</f>
        <v/>
      </c>
      <c r="Q225" s="3">
        <f>IF(AND(O225&gt;0;K225&gt;0);P225/K225;"")</f>
        <v/>
      </c>
      <c r="R225" s="2">
        <f>IF(O225="";"";O225-K225-O225*AK225-O225*AD225-IF(AM225&gt;0;AM225;'_Настройки'!$B$9)-AP225-AC225)</f>
        <v/>
      </c>
      <c r="S225" s="3">
        <f>IF(AND(O225&gt;0;K225&gt;0);R225/K225;"")</f>
        <v/>
      </c>
      <c r="T225" s="2" t="n"/>
      <c r="U225" s="3">
        <f>IF(AND(L225&gt;0;T225&gt;0);1-T225/L225;"")</f>
        <v/>
      </c>
      <c r="V225" s="3">
        <f>'_Настройки'!$B$4</f>
        <v/>
      </c>
      <c r="Z225" s="4">
        <f>IF(AND(W225&gt;0;X225&gt;0;Y225&gt;0);W225*X225*Y225/1000;"")</f>
        <v/>
      </c>
      <c r="AB225" s="2">
        <f>('_Настройки'!$B$6+MAX(0;Z225-1)*'_Настройки'!$B$7)*IF(AA225&gt;0;AA225;'_Настройки'!$B$10)</f>
        <v/>
      </c>
      <c r="AC225" s="2">
        <f>AB225*(1+'_Настройки'!$B$8)</f>
        <v/>
      </c>
      <c r="AD225" s="3">
        <f>'_Настройки'!$B$2</f>
        <v/>
      </c>
      <c r="AE225" s="2">
        <f>L225*AD225</f>
        <v/>
      </c>
      <c r="AF225" s="3">
        <f>'_Настройки'!$B$3</f>
        <v/>
      </c>
      <c r="AG225" s="3">
        <f>IFERROR(INDEX('_Комиссия_ВБ'!$B:$B;MATCH(C225;'_Комиссия_ВБ'!$A:$A;0));0,245)</f>
        <v/>
      </c>
      <c r="AH225" s="3">
        <f>AG225+AF225</f>
        <v/>
      </c>
      <c r="AI225" s="2">
        <f>L225*AH225</f>
        <v/>
      </c>
      <c r="AJ225" s="3">
        <f>IFERROR(INDEX('_Комиссия_ВБ'!$C:$C;MATCH(C225;'_Комиссия_ВБ'!$A:$A;0));0,28)</f>
        <v/>
      </c>
      <c r="AK225" s="3">
        <f>AJ225+AF225</f>
        <v/>
      </c>
      <c r="AL225" s="2">
        <f>L225*AK225</f>
        <v/>
      </c>
      <c r="AM225" s="2" t="n"/>
      <c r="AO225" s="3">
        <f>'_Настройки'!$B$5</f>
        <v/>
      </c>
      <c r="AP225" s="2">
        <f>IF(K225&gt;0;K225*AO225;0)</f>
        <v/>
      </c>
      <c r="AQ225" s="2">
        <f>L225-K225-AI225-AE225-IF(AM225&gt;0;AM225;'_Настройки'!$B$9)-AP225-AC225</f>
        <v/>
      </c>
      <c r="AR225" s="3">
        <f>IF(L225&gt;0;AQ225/L225;"")</f>
        <v/>
      </c>
      <c r="AS225" s="3">
        <f>IF(K225&gt;0;AQ225/K225;"")</f>
        <v/>
      </c>
      <c r="AT225" s="2">
        <f>L225-K225-AL225-AE225-IF(AM225&gt;0;AM225;'_Настройки'!$B$9)-AP225-AC225</f>
        <v/>
      </c>
      <c r="AU225" s="3">
        <f>IF(L225&gt;0;AT225/L225;"")</f>
        <v/>
      </c>
      <c r="AV225" s="3">
        <f>IF(K225&gt;0;AT225/K225;"")</f>
        <v/>
      </c>
    </row>
    <row r="226">
      <c r="A226">
        <f>ROW()-1</f>
        <v/>
      </c>
      <c r="K226" s="2">
        <f>IFERROR(INDEX('_Цены_закупки'!$B:$B;MATCH(C226;'_Цены_закупки'!$A:$A;0));"")</f>
        <v/>
      </c>
      <c r="L226" s="2" t="n"/>
      <c r="M226" s="2" t="n"/>
      <c r="N226" s="3">
        <f>IF(AND(M226&gt;0;L226&gt;0);1-L226/M226;"")</f>
        <v/>
      </c>
      <c r="O226" s="2">
        <f>IF(OR(Q226="";K226=0);"";(K226+IF(AM226&gt;0;AM226;'_Настройки'!$B$9)+AP226+AC226+Q226*K226)/(1-AH226-AD226))</f>
        <v/>
      </c>
      <c r="P226" s="2">
        <f>IF(O226="";"";O226-K226-O226*AH226-O226*AD226-IF(AM226&gt;0;AM226;'_Настройки'!$B$9)-AP226-AC226)</f>
        <v/>
      </c>
      <c r="Q226" s="3">
        <f>IF(AND(O226&gt;0;K226&gt;0);P226/K226;"")</f>
        <v/>
      </c>
      <c r="R226" s="2">
        <f>IF(O226="";"";O226-K226-O226*AK226-O226*AD226-IF(AM226&gt;0;AM226;'_Настройки'!$B$9)-AP226-AC226)</f>
        <v/>
      </c>
      <c r="S226" s="3">
        <f>IF(AND(O226&gt;0;K226&gt;0);R226/K226;"")</f>
        <v/>
      </c>
      <c r="T226" s="2" t="n"/>
      <c r="U226" s="3">
        <f>IF(AND(L226&gt;0;T226&gt;0);1-T226/L226;"")</f>
        <v/>
      </c>
      <c r="V226" s="3">
        <f>'_Настройки'!$B$4</f>
        <v/>
      </c>
      <c r="Z226" s="4">
        <f>IF(AND(W226&gt;0;X226&gt;0;Y226&gt;0);W226*X226*Y226/1000;"")</f>
        <v/>
      </c>
      <c r="AB226" s="2">
        <f>('_Настройки'!$B$6+MAX(0;Z226-1)*'_Настройки'!$B$7)*IF(AA226&gt;0;AA226;'_Настройки'!$B$10)</f>
        <v/>
      </c>
      <c r="AC226" s="2">
        <f>AB226*(1+'_Настройки'!$B$8)</f>
        <v/>
      </c>
      <c r="AD226" s="3">
        <f>'_Настройки'!$B$2</f>
        <v/>
      </c>
      <c r="AE226" s="2">
        <f>L226*AD226</f>
        <v/>
      </c>
      <c r="AF226" s="3">
        <f>'_Настройки'!$B$3</f>
        <v/>
      </c>
      <c r="AG226" s="3">
        <f>IFERROR(INDEX('_Комиссия_ВБ'!$B:$B;MATCH(C226;'_Комиссия_ВБ'!$A:$A;0));0,245)</f>
        <v/>
      </c>
      <c r="AH226" s="3">
        <f>AG226+AF226</f>
        <v/>
      </c>
      <c r="AI226" s="2">
        <f>L226*AH226</f>
        <v/>
      </c>
      <c r="AJ226" s="3">
        <f>IFERROR(INDEX('_Комиссия_ВБ'!$C:$C;MATCH(C226;'_Комиссия_ВБ'!$A:$A;0));0,28)</f>
        <v/>
      </c>
      <c r="AK226" s="3">
        <f>AJ226+AF226</f>
        <v/>
      </c>
      <c r="AL226" s="2">
        <f>L226*AK226</f>
        <v/>
      </c>
      <c r="AM226" s="2" t="n"/>
      <c r="AO226" s="3">
        <f>'_Настройки'!$B$5</f>
        <v/>
      </c>
      <c r="AP226" s="2">
        <f>IF(K226&gt;0;K226*AO226;0)</f>
        <v/>
      </c>
      <c r="AQ226" s="2">
        <f>L226-K226-AI226-AE226-IF(AM226&gt;0;AM226;'_Настройки'!$B$9)-AP226-AC226</f>
        <v/>
      </c>
      <c r="AR226" s="3">
        <f>IF(L226&gt;0;AQ226/L226;"")</f>
        <v/>
      </c>
      <c r="AS226" s="3">
        <f>IF(K226&gt;0;AQ226/K226;"")</f>
        <v/>
      </c>
      <c r="AT226" s="2">
        <f>L226-K226-AL226-AE226-IF(AM226&gt;0;AM226;'_Настройки'!$B$9)-AP226-AC226</f>
        <v/>
      </c>
      <c r="AU226" s="3">
        <f>IF(L226&gt;0;AT226/L226;"")</f>
        <v/>
      </c>
      <c r="AV226" s="3">
        <f>IF(K226&gt;0;AT226/K226;"")</f>
        <v/>
      </c>
    </row>
    <row r="227">
      <c r="A227">
        <f>ROW()-1</f>
        <v/>
      </c>
      <c r="K227" s="2">
        <f>IFERROR(INDEX('_Цены_закупки'!$B:$B;MATCH(C227;'_Цены_закупки'!$A:$A;0));"")</f>
        <v/>
      </c>
      <c r="L227" s="2" t="n"/>
      <c r="M227" s="2" t="n"/>
      <c r="N227" s="3">
        <f>IF(AND(M227&gt;0;L227&gt;0);1-L227/M227;"")</f>
        <v/>
      </c>
      <c r="O227" s="2">
        <f>IF(OR(Q227="";K227=0);"";(K227+IF(AM227&gt;0;AM227;'_Настройки'!$B$9)+AP227+AC227+Q227*K227)/(1-AH227-AD227))</f>
        <v/>
      </c>
      <c r="P227" s="2">
        <f>IF(O227="";"";O227-K227-O227*AH227-O227*AD227-IF(AM227&gt;0;AM227;'_Настройки'!$B$9)-AP227-AC227)</f>
        <v/>
      </c>
      <c r="Q227" s="3">
        <f>IF(AND(O227&gt;0;K227&gt;0);P227/K227;"")</f>
        <v/>
      </c>
      <c r="R227" s="2">
        <f>IF(O227="";"";O227-K227-O227*AK227-O227*AD227-IF(AM227&gt;0;AM227;'_Настройки'!$B$9)-AP227-AC227)</f>
        <v/>
      </c>
      <c r="S227" s="3">
        <f>IF(AND(O227&gt;0;K227&gt;0);R227/K227;"")</f>
        <v/>
      </c>
      <c r="T227" s="2" t="n"/>
      <c r="U227" s="3">
        <f>IF(AND(L227&gt;0;T227&gt;0);1-T227/L227;"")</f>
        <v/>
      </c>
      <c r="V227" s="3">
        <f>'_Настройки'!$B$4</f>
        <v/>
      </c>
      <c r="Z227" s="4">
        <f>IF(AND(W227&gt;0;X227&gt;0;Y227&gt;0);W227*X227*Y227/1000;"")</f>
        <v/>
      </c>
      <c r="AB227" s="2">
        <f>('_Настройки'!$B$6+MAX(0;Z227-1)*'_Настройки'!$B$7)*IF(AA227&gt;0;AA227;'_Настройки'!$B$10)</f>
        <v/>
      </c>
      <c r="AC227" s="2">
        <f>AB227*(1+'_Настройки'!$B$8)</f>
        <v/>
      </c>
      <c r="AD227" s="3">
        <f>'_Настройки'!$B$2</f>
        <v/>
      </c>
      <c r="AE227" s="2">
        <f>L227*AD227</f>
        <v/>
      </c>
      <c r="AF227" s="3">
        <f>'_Настройки'!$B$3</f>
        <v/>
      </c>
      <c r="AG227" s="3">
        <f>IFERROR(INDEX('_Комиссия_ВБ'!$B:$B;MATCH(C227;'_Комиссия_ВБ'!$A:$A;0));0,245)</f>
        <v/>
      </c>
      <c r="AH227" s="3">
        <f>AG227+AF227</f>
        <v/>
      </c>
      <c r="AI227" s="2">
        <f>L227*AH227</f>
        <v/>
      </c>
      <c r="AJ227" s="3">
        <f>IFERROR(INDEX('_Комиссия_ВБ'!$C:$C;MATCH(C227;'_Комиссия_ВБ'!$A:$A;0));0,28)</f>
        <v/>
      </c>
      <c r="AK227" s="3">
        <f>AJ227+AF227</f>
        <v/>
      </c>
      <c r="AL227" s="2">
        <f>L227*AK227</f>
        <v/>
      </c>
      <c r="AM227" s="2" t="n"/>
      <c r="AO227" s="3">
        <f>'_Настройки'!$B$5</f>
        <v/>
      </c>
      <c r="AP227" s="2">
        <f>IF(K227&gt;0;K227*AO227;0)</f>
        <v/>
      </c>
      <c r="AQ227" s="2">
        <f>L227-K227-AI227-AE227-IF(AM227&gt;0;AM227;'_Настройки'!$B$9)-AP227-AC227</f>
        <v/>
      </c>
      <c r="AR227" s="3">
        <f>IF(L227&gt;0;AQ227/L227;"")</f>
        <v/>
      </c>
      <c r="AS227" s="3">
        <f>IF(K227&gt;0;AQ227/K227;"")</f>
        <v/>
      </c>
      <c r="AT227" s="2">
        <f>L227-K227-AL227-AE227-IF(AM227&gt;0;AM227;'_Настройки'!$B$9)-AP227-AC227</f>
        <v/>
      </c>
      <c r="AU227" s="3">
        <f>IF(L227&gt;0;AT227/L227;"")</f>
        <v/>
      </c>
      <c r="AV227" s="3">
        <f>IF(K227&gt;0;AT227/K227;"")</f>
        <v/>
      </c>
    </row>
    <row r="228">
      <c r="A228">
        <f>ROW()-1</f>
        <v/>
      </c>
      <c r="K228" s="2">
        <f>IFERROR(INDEX('_Цены_закупки'!$B:$B;MATCH(C228;'_Цены_закупки'!$A:$A;0));"")</f>
        <v/>
      </c>
      <c r="L228" s="2" t="n"/>
      <c r="M228" s="2" t="n"/>
      <c r="N228" s="3">
        <f>IF(AND(M228&gt;0;L228&gt;0);1-L228/M228;"")</f>
        <v/>
      </c>
      <c r="O228" s="2">
        <f>IF(OR(Q228="";K228=0);"";(K228+IF(AM228&gt;0;AM228;'_Настройки'!$B$9)+AP228+AC228+Q228*K228)/(1-AH228-AD228))</f>
        <v/>
      </c>
      <c r="P228" s="2">
        <f>IF(O228="";"";O228-K228-O228*AH228-O228*AD228-IF(AM228&gt;0;AM228;'_Настройки'!$B$9)-AP228-AC228)</f>
        <v/>
      </c>
      <c r="Q228" s="3">
        <f>IF(AND(O228&gt;0;K228&gt;0);P228/K228;"")</f>
        <v/>
      </c>
      <c r="R228" s="2">
        <f>IF(O228="";"";O228-K228-O228*AK228-O228*AD228-IF(AM228&gt;0;AM228;'_Настройки'!$B$9)-AP228-AC228)</f>
        <v/>
      </c>
      <c r="S228" s="3">
        <f>IF(AND(O228&gt;0;K228&gt;0);R228/K228;"")</f>
        <v/>
      </c>
      <c r="T228" s="2" t="n"/>
      <c r="U228" s="3">
        <f>IF(AND(L228&gt;0;T228&gt;0);1-T228/L228;"")</f>
        <v/>
      </c>
      <c r="V228" s="3">
        <f>'_Настройки'!$B$4</f>
        <v/>
      </c>
      <c r="Z228" s="4">
        <f>IF(AND(W228&gt;0;X228&gt;0;Y228&gt;0);W228*X228*Y228/1000;"")</f>
        <v/>
      </c>
      <c r="AB228" s="2">
        <f>('_Настройки'!$B$6+MAX(0;Z228-1)*'_Настройки'!$B$7)*IF(AA228&gt;0;AA228;'_Настройки'!$B$10)</f>
        <v/>
      </c>
      <c r="AC228" s="2">
        <f>AB228*(1+'_Настройки'!$B$8)</f>
        <v/>
      </c>
      <c r="AD228" s="3">
        <f>'_Настройки'!$B$2</f>
        <v/>
      </c>
      <c r="AE228" s="2">
        <f>L228*AD228</f>
        <v/>
      </c>
      <c r="AF228" s="3">
        <f>'_Настройки'!$B$3</f>
        <v/>
      </c>
      <c r="AG228" s="3">
        <f>IFERROR(INDEX('_Комиссия_ВБ'!$B:$B;MATCH(C228;'_Комиссия_ВБ'!$A:$A;0));0,245)</f>
        <v/>
      </c>
      <c r="AH228" s="3">
        <f>AG228+AF228</f>
        <v/>
      </c>
      <c r="AI228" s="2">
        <f>L228*AH228</f>
        <v/>
      </c>
      <c r="AJ228" s="3">
        <f>IFERROR(INDEX('_Комиссия_ВБ'!$C:$C;MATCH(C228;'_Комиссия_ВБ'!$A:$A;0));0,28)</f>
        <v/>
      </c>
      <c r="AK228" s="3">
        <f>AJ228+AF228</f>
        <v/>
      </c>
      <c r="AL228" s="2">
        <f>L228*AK228</f>
        <v/>
      </c>
      <c r="AM228" s="2" t="n"/>
      <c r="AO228" s="3">
        <f>'_Настройки'!$B$5</f>
        <v/>
      </c>
      <c r="AP228" s="2">
        <f>IF(K228&gt;0;K228*AO228;0)</f>
        <v/>
      </c>
      <c r="AQ228" s="2">
        <f>L228-K228-AI228-AE228-IF(AM228&gt;0;AM228;'_Настройки'!$B$9)-AP228-AC228</f>
        <v/>
      </c>
      <c r="AR228" s="3">
        <f>IF(L228&gt;0;AQ228/L228;"")</f>
        <v/>
      </c>
      <c r="AS228" s="3">
        <f>IF(K228&gt;0;AQ228/K228;"")</f>
        <v/>
      </c>
      <c r="AT228" s="2">
        <f>L228-K228-AL228-AE228-IF(AM228&gt;0;AM228;'_Настройки'!$B$9)-AP228-AC228</f>
        <v/>
      </c>
      <c r="AU228" s="3">
        <f>IF(L228&gt;0;AT228/L228;"")</f>
        <v/>
      </c>
      <c r="AV228" s="3">
        <f>IF(K228&gt;0;AT228/K228;"")</f>
        <v/>
      </c>
    </row>
    <row r="229">
      <c r="A229">
        <f>ROW()-1</f>
        <v/>
      </c>
      <c r="K229" s="2">
        <f>IFERROR(INDEX('_Цены_закупки'!$B:$B;MATCH(C229;'_Цены_закупки'!$A:$A;0));"")</f>
        <v/>
      </c>
      <c r="L229" s="2" t="n"/>
      <c r="M229" s="2" t="n"/>
      <c r="N229" s="3">
        <f>IF(AND(M229&gt;0;L229&gt;0);1-L229/M229;"")</f>
        <v/>
      </c>
      <c r="O229" s="2">
        <f>IF(OR(Q229="";K229=0);"";(K229+IF(AM229&gt;0;AM229;'_Настройки'!$B$9)+AP229+AC229+Q229*K229)/(1-AH229-AD229))</f>
        <v/>
      </c>
      <c r="P229" s="2">
        <f>IF(O229="";"";O229-K229-O229*AH229-O229*AD229-IF(AM229&gt;0;AM229;'_Настройки'!$B$9)-AP229-AC229)</f>
        <v/>
      </c>
      <c r="Q229" s="3">
        <f>IF(AND(O229&gt;0;K229&gt;0);P229/K229;"")</f>
        <v/>
      </c>
      <c r="R229" s="2">
        <f>IF(O229="";"";O229-K229-O229*AK229-O229*AD229-IF(AM229&gt;0;AM229;'_Настройки'!$B$9)-AP229-AC229)</f>
        <v/>
      </c>
      <c r="S229" s="3">
        <f>IF(AND(O229&gt;0;K229&gt;0);R229/K229;"")</f>
        <v/>
      </c>
      <c r="T229" s="2" t="n"/>
      <c r="U229" s="3">
        <f>IF(AND(L229&gt;0;T229&gt;0);1-T229/L229;"")</f>
        <v/>
      </c>
      <c r="V229" s="3">
        <f>'_Настройки'!$B$4</f>
        <v/>
      </c>
      <c r="Z229" s="4">
        <f>IF(AND(W229&gt;0;X229&gt;0;Y229&gt;0);W229*X229*Y229/1000;"")</f>
        <v/>
      </c>
      <c r="AB229" s="2">
        <f>('_Настройки'!$B$6+MAX(0;Z229-1)*'_Настройки'!$B$7)*IF(AA229&gt;0;AA229;'_Настройки'!$B$10)</f>
        <v/>
      </c>
      <c r="AC229" s="2">
        <f>AB229*(1+'_Настройки'!$B$8)</f>
        <v/>
      </c>
      <c r="AD229" s="3">
        <f>'_Настройки'!$B$2</f>
        <v/>
      </c>
      <c r="AE229" s="2">
        <f>L229*AD229</f>
        <v/>
      </c>
      <c r="AF229" s="3">
        <f>'_Настройки'!$B$3</f>
        <v/>
      </c>
      <c r="AG229" s="3">
        <f>IFERROR(INDEX('_Комиссия_ВБ'!$B:$B;MATCH(C229;'_Комиссия_ВБ'!$A:$A;0));0,245)</f>
        <v/>
      </c>
      <c r="AH229" s="3">
        <f>AG229+AF229</f>
        <v/>
      </c>
      <c r="AI229" s="2">
        <f>L229*AH229</f>
        <v/>
      </c>
      <c r="AJ229" s="3">
        <f>IFERROR(INDEX('_Комиссия_ВБ'!$C:$C;MATCH(C229;'_Комиссия_ВБ'!$A:$A;0));0,28)</f>
        <v/>
      </c>
      <c r="AK229" s="3">
        <f>AJ229+AF229</f>
        <v/>
      </c>
      <c r="AL229" s="2">
        <f>L229*AK229</f>
        <v/>
      </c>
      <c r="AM229" s="2" t="n"/>
      <c r="AO229" s="3">
        <f>'_Настройки'!$B$5</f>
        <v/>
      </c>
      <c r="AP229" s="2">
        <f>IF(K229&gt;0;K229*AO229;0)</f>
        <v/>
      </c>
      <c r="AQ229" s="2">
        <f>L229-K229-AI229-AE229-IF(AM229&gt;0;AM229;'_Настройки'!$B$9)-AP229-AC229</f>
        <v/>
      </c>
      <c r="AR229" s="3">
        <f>IF(L229&gt;0;AQ229/L229;"")</f>
        <v/>
      </c>
      <c r="AS229" s="3">
        <f>IF(K229&gt;0;AQ229/K229;"")</f>
        <v/>
      </c>
      <c r="AT229" s="2">
        <f>L229-K229-AL229-AE229-IF(AM229&gt;0;AM229;'_Настройки'!$B$9)-AP229-AC229</f>
        <v/>
      </c>
      <c r="AU229" s="3">
        <f>IF(L229&gt;0;AT229/L229;"")</f>
        <v/>
      </c>
      <c r="AV229" s="3">
        <f>IF(K229&gt;0;AT229/K229;"")</f>
        <v/>
      </c>
    </row>
    <row r="230">
      <c r="A230">
        <f>ROW()-1</f>
        <v/>
      </c>
      <c r="K230" s="2">
        <f>IFERROR(INDEX('_Цены_закупки'!$B:$B;MATCH(C230;'_Цены_закупки'!$A:$A;0));"")</f>
        <v/>
      </c>
      <c r="L230" s="2" t="n"/>
      <c r="M230" s="2" t="n"/>
      <c r="N230" s="3">
        <f>IF(AND(M230&gt;0;L230&gt;0);1-L230/M230;"")</f>
        <v/>
      </c>
      <c r="O230" s="2">
        <f>IF(OR(Q230="";K230=0);"";(K230+IF(AM230&gt;0;AM230;'_Настройки'!$B$9)+AP230+AC230+Q230*K230)/(1-AH230-AD230))</f>
        <v/>
      </c>
      <c r="P230" s="2">
        <f>IF(O230="";"";O230-K230-O230*AH230-O230*AD230-IF(AM230&gt;0;AM230;'_Настройки'!$B$9)-AP230-AC230)</f>
        <v/>
      </c>
      <c r="Q230" s="3">
        <f>IF(AND(O230&gt;0;K230&gt;0);P230/K230;"")</f>
        <v/>
      </c>
      <c r="R230" s="2">
        <f>IF(O230="";"";O230-K230-O230*AK230-O230*AD230-IF(AM230&gt;0;AM230;'_Настройки'!$B$9)-AP230-AC230)</f>
        <v/>
      </c>
      <c r="S230" s="3">
        <f>IF(AND(O230&gt;0;K230&gt;0);R230/K230;"")</f>
        <v/>
      </c>
      <c r="T230" s="2" t="n"/>
      <c r="U230" s="3">
        <f>IF(AND(L230&gt;0;T230&gt;0);1-T230/L230;"")</f>
        <v/>
      </c>
      <c r="V230" s="3">
        <f>'_Настройки'!$B$4</f>
        <v/>
      </c>
      <c r="Z230" s="4">
        <f>IF(AND(W230&gt;0;X230&gt;0;Y230&gt;0);W230*X230*Y230/1000;"")</f>
        <v/>
      </c>
      <c r="AB230" s="2">
        <f>('_Настройки'!$B$6+MAX(0;Z230-1)*'_Настройки'!$B$7)*IF(AA230&gt;0;AA230;'_Настройки'!$B$10)</f>
        <v/>
      </c>
      <c r="AC230" s="2">
        <f>AB230*(1+'_Настройки'!$B$8)</f>
        <v/>
      </c>
      <c r="AD230" s="3">
        <f>'_Настройки'!$B$2</f>
        <v/>
      </c>
      <c r="AE230" s="2">
        <f>L230*AD230</f>
        <v/>
      </c>
      <c r="AF230" s="3">
        <f>'_Настройки'!$B$3</f>
        <v/>
      </c>
      <c r="AG230" s="3">
        <f>IFERROR(INDEX('_Комиссия_ВБ'!$B:$B;MATCH(C230;'_Комиссия_ВБ'!$A:$A;0));0,245)</f>
        <v/>
      </c>
      <c r="AH230" s="3">
        <f>AG230+AF230</f>
        <v/>
      </c>
      <c r="AI230" s="2">
        <f>L230*AH230</f>
        <v/>
      </c>
      <c r="AJ230" s="3">
        <f>IFERROR(INDEX('_Комиссия_ВБ'!$C:$C;MATCH(C230;'_Комиссия_ВБ'!$A:$A;0));0,28)</f>
        <v/>
      </c>
      <c r="AK230" s="3">
        <f>AJ230+AF230</f>
        <v/>
      </c>
      <c r="AL230" s="2">
        <f>L230*AK230</f>
        <v/>
      </c>
      <c r="AM230" s="2" t="n"/>
      <c r="AO230" s="3">
        <f>'_Настройки'!$B$5</f>
        <v/>
      </c>
      <c r="AP230" s="2">
        <f>IF(K230&gt;0;K230*AO230;0)</f>
        <v/>
      </c>
      <c r="AQ230" s="2">
        <f>L230-K230-AI230-AE230-IF(AM230&gt;0;AM230;'_Настройки'!$B$9)-AP230-AC230</f>
        <v/>
      </c>
      <c r="AR230" s="3">
        <f>IF(L230&gt;0;AQ230/L230;"")</f>
        <v/>
      </c>
      <c r="AS230" s="3">
        <f>IF(K230&gt;0;AQ230/K230;"")</f>
        <v/>
      </c>
      <c r="AT230" s="2">
        <f>L230-K230-AL230-AE230-IF(AM230&gt;0;AM230;'_Настройки'!$B$9)-AP230-AC230</f>
        <v/>
      </c>
      <c r="AU230" s="3">
        <f>IF(L230&gt;0;AT230/L230;"")</f>
        <v/>
      </c>
      <c r="AV230" s="3">
        <f>IF(K230&gt;0;AT230/K230;"")</f>
        <v/>
      </c>
    </row>
    <row r="231">
      <c r="A231">
        <f>ROW()-1</f>
        <v/>
      </c>
      <c r="K231" s="2">
        <f>IFERROR(INDEX('_Цены_закупки'!$B:$B;MATCH(C231;'_Цены_закупки'!$A:$A;0));"")</f>
        <v/>
      </c>
      <c r="L231" s="2" t="n"/>
      <c r="M231" s="2" t="n"/>
      <c r="N231" s="3">
        <f>IF(AND(M231&gt;0;L231&gt;0);1-L231/M231;"")</f>
        <v/>
      </c>
      <c r="O231" s="2">
        <f>IF(OR(Q231="";K231=0);"";(K231+IF(AM231&gt;0;AM231;'_Настройки'!$B$9)+AP231+AC231+Q231*K231)/(1-AH231-AD231))</f>
        <v/>
      </c>
      <c r="P231" s="2">
        <f>IF(O231="";"";O231-K231-O231*AH231-O231*AD231-IF(AM231&gt;0;AM231;'_Настройки'!$B$9)-AP231-AC231)</f>
        <v/>
      </c>
      <c r="Q231" s="3">
        <f>IF(AND(O231&gt;0;K231&gt;0);P231/K231;"")</f>
        <v/>
      </c>
      <c r="R231" s="2">
        <f>IF(O231="";"";O231-K231-O231*AK231-O231*AD231-IF(AM231&gt;0;AM231;'_Настройки'!$B$9)-AP231-AC231)</f>
        <v/>
      </c>
      <c r="S231" s="3">
        <f>IF(AND(O231&gt;0;K231&gt;0);R231/K231;"")</f>
        <v/>
      </c>
      <c r="T231" s="2" t="n"/>
      <c r="U231" s="3">
        <f>IF(AND(L231&gt;0;T231&gt;0);1-T231/L231;"")</f>
        <v/>
      </c>
      <c r="V231" s="3">
        <f>'_Настройки'!$B$4</f>
        <v/>
      </c>
      <c r="Z231" s="4">
        <f>IF(AND(W231&gt;0;X231&gt;0;Y231&gt;0);W231*X231*Y231/1000;"")</f>
        <v/>
      </c>
      <c r="AB231" s="2">
        <f>('_Настройки'!$B$6+MAX(0;Z231-1)*'_Настройки'!$B$7)*IF(AA231&gt;0;AA231;'_Настройки'!$B$10)</f>
        <v/>
      </c>
      <c r="AC231" s="2">
        <f>AB231*(1+'_Настройки'!$B$8)</f>
        <v/>
      </c>
      <c r="AD231" s="3">
        <f>'_Настройки'!$B$2</f>
        <v/>
      </c>
      <c r="AE231" s="2">
        <f>L231*AD231</f>
        <v/>
      </c>
      <c r="AF231" s="3">
        <f>'_Настройки'!$B$3</f>
        <v/>
      </c>
      <c r="AG231" s="3">
        <f>IFERROR(INDEX('_Комиссия_ВБ'!$B:$B;MATCH(C231;'_Комиссия_ВБ'!$A:$A;0));0,245)</f>
        <v/>
      </c>
      <c r="AH231" s="3">
        <f>AG231+AF231</f>
        <v/>
      </c>
      <c r="AI231" s="2">
        <f>L231*AH231</f>
        <v/>
      </c>
      <c r="AJ231" s="3">
        <f>IFERROR(INDEX('_Комиссия_ВБ'!$C:$C;MATCH(C231;'_Комиссия_ВБ'!$A:$A;0));0,28)</f>
        <v/>
      </c>
      <c r="AK231" s="3">
        <f>AJ231+AF231</f>
        <v/>
      </c>
      <c r="AL231" s="2">
        <f>L231*AK231</f>
        <v/>
      </c>
      <c r="AM231" s="2" t="n"/>
      <c r="AO231" s="3">
        <f>'_Настройки'!$B$5</f>
        <v/>
      </c>
      <c r="AP231" s="2">
        <f>IF(K231&gt;0;K231*AO231;0)</f>
        <v/>
      </c>
      <c r="AQ231" s="2">
        <f>L231-K231-AI231-AE231-IF(AM231&gt;0;AM231;'_Настройки'!$B$9)-AP231-AC231</f>
        <v/>
      </c>
      <c r="AR231" s="3">
        <f>IF(L231&gt;0;AQ231/L231;"")</f>
        <v/>
      </c>
      <c r="AS231" s="3">
        <f>IF(K231&gt;0;AQ231/K231;"")</f>
        <v/>
      </c>
      <c r="AT231" s="2">
        <f>L231-K231-AL231-AE231-IF(AM231&gt;0;AM231;'_Настройки'!$B$9)-AP231-AC231</f>
        <v/>
      </c>
      <c r="AU231" s="3">
        <f>IF(L231&gt;0;AT231/L231;"")</f>
        <v/>
      </c>
      <c r="AV231" s="3">
        <f>IF(K231&gt;0;AT231/K231;"")</f>
        <v/>
      </c>
    </row>
    <row r="232">
      <c r="A232">
        <f>ROW()-1</f>
        <v/>
      </c>
      <c r="K232" s="2">
        <f>IFERROR(INDEX('_Цены_закупки'!$B:$B;MATCH(C232;'_Цены_закупки'!$A:$A;0));"")</f>
        <v/>
      </c>
      <c r="L232" s="2" t="n"/>
      <c r="M232" s="2" t="n"/>
      <c r="N232" s="3">
        <f>IF(AND(M232&gt;0;L232&gt;0);1-L232/M232;"")</f>
        <v/>
      </c>
      <c r="O232" s="2">
        <f>IF(OR(Q232="";K232=0);"";(K232+IF(AM232&gt;0;AM232;'_Настройки'!$B$9)+AP232+AC232+Q232*K232)/(1-AH232-AD232))</f>
        <v/>
      </c>
      <c r="P232" s="2">
        <f>IF(O232="";"";O232-K232-O232*AH232-O232*AD232-IF(AM232&gt;0;AM232;'_Настройки'!$B$9)-AP232-AC232)</f>
        <v/>
      </c>
      <c r="Q232" s="3">
        <f>IF(AND(O232&gt;0;K232&gt;0);P232/K232;"")</f>
        <v/>
      </c>
      <c r="R232" s="2">
        <f>IF(O232="";"";O232-K232-O232*AK232-O232*AD232-IF(AM232&gt;0;AM232;'_Настройки'!$B$9)-AP232-AC232)</f>
        <v/>
      </c>
      <c r="S232" s="3">
        <f>IF(AND(O232&gt;0;K232&gt;0);R232/K232;"")</f>
        <v/>
      </c>
      <c r="T232" s="2" t="n"/>
      <c r="U232" s="3">
        <f>IF(AND(L232&gt;0;T232&gt;0);1-T232/L232;"")</f>
        <v/>
      </c>
      <c r="V232" s="3">
        <f>'_Настройки'!$B$4</f>
        <v/>
      </c>
      <c r="Z232" s="4">
        <f>IF(AND(W232&gt;0;X232&gt;0;Y232&gt;0);W232*X232*Y232/1000;"")</f>
        <v/>
      </c>
      <c r="AB232" s="2">
        <f>('_Настройки'!$B$6+MAX(0;Z232-1)*'_Настройки'!$B$7)*IF(AA232&gt;0;AA232;'_Настройки'!$B$10)</f>
        <v/>
      </c>
      <c r="AC232" s="2">
        <f>AB232*(1+'_Настройки'!$B$8)</f>
        <v/>
      </c>
      <c r="AD232" s="3">
        <f>'_Настройки'!$B$2</f>
        <v/>
      </c>
      <c r="AE232" s="2">
        <f>L232*AD232</f>
        <v/>
      </c>
      <c r="AF232" s="3">
        <f>'_Настройки'!$B$3</f>
        <v/>
      </c>
      <c r="AG232" s="3">
        <f>IFERROR(INDEX('_Комиссия_ВБ'!$B:$B;MATCH(C232;'_Комиссия_ВБ'!$A:$A;0));0,245)</f>
        <v/>
      </c>
      <c r="AH232" s="3">
        <f>AG232+AF232</f>
        <v/>
      </c>
      <c r="AI232" s="2">
        <f>L232*AH232</f>
        <v/>
      </c>
      <c r="AJ232" s="3">
        <f>IFERROR(INDEX('_Комиссия_ВБ'!$C:$C;MATCH(C232;'_Комиссия_ВБ'!$A:$A;0));0,28)</f>
        <v/>
      </c>
      <c r="AK232" s="3">
        <f>AJ232+AF232</f>
        <v/>
      </c>
      <c r="AL232" s="2">
        <f>L232*AK232</f>
        <v/>
      </c>
      <c r="AM232" s="2" t="n"/>
      <c r="AO232" s="3">
        <f>'_Настройки'!$B$5</f>
        <v/>
      </c>
      <c r="AP232" s="2">
        <f>IF(K232&gt;0;K232*AO232;0)</f>
        <v/>
      </c>
      <c r="AQ232" s="2">
        <f>L232-K232-AI232-AE232-IF(AM232&gt;0;AM232;'_Настройки'!$B$9)-AP232-AC232</f>
        <v/>
      </c>
      <c r="AR232" s="3">
        <f>IF(L232&gt;0;AQ232/L232;"")</f>
        <v/>
      </c>
      <c r="AS232" s="3">
        <f>IF(K232&gt;0;AQ232/K232;"")</f>
        <v/>
      </c>
      <c r="AT232" s="2">
        <f>L232-K232-AL232-AE232-IF(AM232&gt;0;AM232;'_Настройки'!$B$9)-AP232-AC232</f>
        <v/>
      </c>
      <c r="AU232" s="3">
        <f>IF(L232&gt;0;AT232/L232;"")</f>
        <v/>
      </c>
      <c r="AV232" s="3">
        <f>IF(K232&gt;0;AT232/K232;"")</f>
        <v/>
      </c>
    </row>
    <row r="233">
      <c r="A233">
        <f>ROW()-1</f>
        <v/>
      </c>
      <c r="K233" s="2">
        <f>IFERROR(INDEX('_Цены_закупки'!$B:$B;MATCH(C233;'_Цены_закупки'!$A:$A;0));"")</f>
        <v/>
      </c>
      <c r="L233" s="2" t="n"/>
      <c r="M233" s="2" t="n"/>
      <c r="N233" s="3">
        <f>IF(AND(M233&gt;0;L233&gt;0);1-L233/M233;"")</f>
        <v/>
      </c>
      <c r="O233" s="2">
        <f>IF(OR(Q233="";K233=0);"";(K233+IF(AM233&gt;0;AM233;'_Настройки'!$B$9)+AP233+AC233+Q233*K233)/(1-AH233-AD233))</f>
        <v/>
      </c>
      <c r="P233" s="2">
        <f>IF(O233="";"";O233-K233-O233*AH233-O233*AD233-IF(AM233&gt;0;AM233;'_Настройки'!$B$9)-AP233-AC233)</f>
        <v/>
      </c>
      <c r="Q233" s="3">
        <f>IF(AND(O233&gt;0;K233&gt;0);P233/K233;"")</f>
        <v/>
      </c>
      <c r="R233" s="2">
        <f>IF(O233="";"";O233-K233-O233*AK233-O233*AD233-IF(AM233&gt;0;AM233;'_Настройки'!$B$9)-AP233-AC233)</f>
        <v/>
      </c>
      <c r="S233" s="3">
        <f>IF(AND(O233&gt;0;K233&gt;0);R233/K233;"")</f>
        <v/>
      </c>
      <c r="T233" s="2" t="n"/>
      <c r="U233" s="3">
        <f>IF(AND(L233&gt;0;T233&gt;0);1-T233/L233;"")</f>
        <v/>
      </c>
      <c r="V233" s="3">
        <f>'_Настройки'!$B$4</f>
        <v/>
      </c>
      <c r="Z233" s="4">
        <f>IF(AND(W233&gt;0;X233&gt;0;Y233&gt;0);W233*X233*Y233/1000;"")</f>
        <v/>
      </c>
      <c r="AB233" s="2">
        <f>('_Настройки'!$B$6+MAX(0;Z233-1)*'_Настройки'!$B$7)*IF(AA233&gt;0;AA233;'_Настройки'!$B$10)</f>
        <v/>
      </c>
      <c r="AC233" s="2">
        <f>AB233*(1+'_Настройки'!$B$8)</f>
        <v/>
      </c>
      <c r="AD233" s="3">
        <f>'_Настройки'!$B$2</f>
        <v/>
      </c>
      <c r="AE233" s="2">
        <f>L233*AD233</f>
        <v/>
      </c>
      <c r="AF233" s="3">
        <f>'_Настройки'!$B$3</f>
        <v/>
      </c>
      <c r="AG233" s="3">
        <f>IFERROR(INDEX('_Комиссия_ВБ'!$B:$B;MATCH(C233;'_Комиссия_ВБ'!$A:$A;0));0,245)</f>
        <v/>
      </c>
      <c r="AH233" s="3">
        <f>AG233+AF233</f>
        <v/>
      </c>
      <c r="AI233" s="2">
        <f>L233*AH233</f>
        <v/>
      </c>
      <c r="AJ233" s="3">
        <f>IFERROR(INDEX('_Комиссия_ВБ'!$C:$C;MATCH(C233;'_Комиссия_ВБ'!$A:$A;0));0,28)</f>
        <v/>
      </c>
      <c r="AK233" s="3">
        <f>AJ233+AF233</f>
        <v/>
      </c>
      <c r="AL233" s="2">
        <f>L233*AK233</f>
        <v/>
      </c>
      <c r="AM233" s="2" t="n"/>
      <c r="AO233" s="3">
        <f>'_Настройки'!$B$5</f>
        <v/>
      </c>
      <c r="AP233" s="2">
        <f>IF(K233&gt;0;K233*AO233;0)</f>
        <v/>
      </c>
      <c r="AQ233" s="2">
        <f>L233-K233-AI233-AE233-IF(AM233&gt;0;AM233;'_Настройки'!$B$9)-AP233-AC233</f>
        <v/>
      </c>
      <c r="AR233" s="3">
        <f>IF(L233&gt;0;AQ233/L233;"")</f>
        <v/>
      </c>
      <c r="AS233" s="3">
        <f>IF(K233&gt;0;AQ233/K233;"")</f>
        <v/>
      </c>
      <c r="AT233" s="2">
        <f>L233-K233-AL233-AE233-IF(AM233&gt;0;AM233;'_Настройки'!$B$9)-AP233-AC233</f>
        <v/>
      </c>
      <c r="AU233" s="3">
        <f>IF(L233&gt;0;AT233/L233;"")</f>
        <v/>
      </c>
      <c r="AV233" s="3">
        <f>IF(K233&gt;0;AT233/K233;"")</f>
        <v/>
      </c>
    </row>
    <row r="234">
      <c r="A234">
        <f>ROW()-1</f>
        <v/>
      </c>
      <c r="K234" s="2">
        <f>IFERROR(INDEX('_Цены_закупки'!$B:$B;MATCH(C234;'_Цены_закупки'!$A:$A;0));"")</f>
        <v/>
      </c>
      <c r="L234" s="2" t="n"/>
      <c r="M234" s="2" t="n"/>
      <c r="N234" s="3">
        <f>IF(AND(M234&gt;0;L234&gt;0);1-L234/M234;"")</f>
        <v/>
      </c>
      <c r="O234" s="2">
        <f>IF(OR(Q234="";K234=0);"";(K234+IF(AM234&gt;0;AM234;'_Настройки'!$B$9)+AP234+AC234+Q234*K234)/(1-AH234-AD234))</f>
        <v/>
      </c>
      <c r="P234" s="2">
        <f>IF(O234="";"";O234-K234-O234*AH234-O234*AD234-IF(AM234&gt;0;AM234;'_Настройки'!$B$9)-AP234-AC234)</f>
        <v/>
      </c>
      <c r="Q234" s="3">
        <f>IF(AND(O234&gt;0;K234&gt;0);P234/K234;"")</f>
        <v/>
      </c>
      <c r="R234" s="2">
        <f>IF(O234="";"";O234-K234-O234*AK234-O234*AD234-IF(AM234&gt;0;AM234;'_Настройки'!$B$9)-AP234-AC234)</f>
        <v/>
      </c>
      <c r="S234" s="3">
        <f>IF(AND(O234&gt;0;K234&gt;0);R234/K234;"")</f>
        <v/>
      </c>
      <c r="T234" s="2" t="n"/>
      <c r="U234" s="3">
        <f>IF(AND(L234&gt;0;T234&gt;0);1-T234/L234;"")</f>
        <v/>
      </c>
      <c r="V234" s="3">
        <f>'_Настройки'!$B$4</f>
        <v/>
      </c>
      <c r="Z234" s="4">
        <f>IF(AND(W234&gt;0;X234&gt;0;Y234&gt;0);W234*X234*Y234/1000;"")</f>
        <v/>
      </c>
      <c r="AB234" s="2">
        <f>('_Настройки'!$B$6+MAX(0;Z234-1)*'_Настройки'!$B$7)*IF(AA234&gt;0;AA234;'_Настройки'!$B$10)</f>
        <v/>
      </c>
      <c r="AC234" s="2">
        <f>AB234*(1+'_Настройки'!$B$8)</f>
        <v/>
      </c>
      <c r="AD234" s="3">
        <f>'_Настройки'!$B$2</f>
        <v/>
      </c>
      <c r="AE234" s="2">
        <f>L234*AD234</f>
        <v/>
      </c>
      <c r="AF234" s="3">
        <f>'_Настройки'!$B$3</f>
        <v/>
      </c>
      <c r="AG234" s="3">
        <f>IFERROR(INDEX('_Комиссия_ВБ'!$B:$B;MATCH(C234;'_Комиссия_ВБ'!$A:$A;0));0,245)</f>
        <v/>
      </c>
      <c r="AH234" s="3">
        <f>AG234+AF234</f>
        <v/>
      </c>
      <c r="AI234" s="2">
        <f>L234*AH234</f>
        <v/>
      </c>
      <c r="AJ234" s="3">
        <f>IFERROR(INDEX('_Комиссия_ВБ'!$C:$C;MATCH(C234;'_Комиссия_ВБ'!$A:$A;0));0,28)</f>
        <v/>
      </c>
      <c r="AK234" s="3">
        <f>AJ234+AF234</f>
        <v/>
      </c>
      <c r="AL234" s="2">
        <f>L234*AK234</f>
        <v/>
      </c>
      <c r="AM234" s="2" t="n"/>
      <c r="AO234" s="3">
        <f>'_Настройки'!$B$5</f>
        <v/>
      </c>
      <c r="AP234" s="2">
        <f>IF(K234&gt;0;K234*AO234;0)</f>
        <v/>
      </c>
      <c r="AQ234" s="2">
        <f>L234-K234-AI234-AE234-IF(AM234&gt;0;AM234;'_Настройки'!$B$9)-AP234-AC234</f>
        <v/>
      </c>
      <c r="AR234" s="3">
        <f>IF(L234&gt;0;AQ234/L234;"")</f>
        <v/>
      </c>
      <c r="AS234" s="3">
        <f>IF(K234&gt;0;AQ234/K234;"")</f>
        <v/>
      </c>
      <c r="AT234" s="2">
        <f>L234-K234-AL234-AE234-IF(AM234&gt;0;AM234;'_Настройки'!$B$9)-AP234-AC234</f>
        <v/>
      </c>
      <c r="AU234" s="3">
        <f>IF(L234&gt;0;AT234/L234;"")</f>
        <v/>
      </c>
      <c r="AV234" s="3">
        <f>IF(K234&gt;0;AT234/K234;"")</f>
        <v/>
      </c>
    </row>
    <row r="235">
      <c r="A235">
        <f>ROW()-1</f>
        <v/>
      </c>
      <c r="K235" s="2">
        <f>IFERROR(INDEX('_Цены_закупки'!$B:$B;MATCH(C235;'_Цены_закупки'!$A:$A;0));"")</f>
        <v/>
      </c>
      <c r="L235" s="2" t="n"/>
      <c r="M235" s="2" t="n"/>
      <c r="N235" s="3">
        <f>IF(AND(M235&gt;0;L235&gt;0);1-L235/M235;"")</f>
        <v/>
      </c>
      <c r="O235" s="2">
        <f>IF(OR(Q235="";K235=0);"";(K235+IF(AM235&gt;0;AM235;'_Настройки'!$B$9)+AP235+AC235+Q235*K235)/(1-AH235-AD235))</f>
        <v/>
      </c>
      <c r="P235" s="2">
        <f>IF(O235="";"";O235-K235-O235*AH235-O235*AD235-IF(AM235&gt;0;AM235;'_Настройки'!$B$9)-AP235-AC235)</f>
        <v/>
      </c>
      <c r="Q235" s="3">
        <f>IF(AND(O235&gt;0;K235&gt;0);P235/K235;"")</f>
        <v/>
      </c>
      <c r="R235" s="2">
        <f>IF(O235="";"";O235-K235-O235*AK235-O235*AD235-IF(AM235&gt;0;AM235;'_Настройки'!$B$9)-AP235-AC235)</f>
        <v/>
      </c>
      <c r="S235" s="3">
        <f>IF(AND(O235&gt;0;K235&gt;0);R235/K235;"")</f>
        <v/>
      </c>
      <c r="T235" s="2" t="n"/>
      <c r="U235" s="3">
        <f>IF(AND(L235&gt;0;T235&gt;0);1-T235/L235;"")</f>
        <v/>
      </c>
      <c r="V235" s="3">
        <f>'_Настройки'!$B$4</f>
        <v/>
      </c>
      <c r="Z235" s="4">
        <f>IF(AND(W235&gt;0;X235&gt;0;Y235&gt;0);W235*X235*Y235/1000;"")</f>
        <v/>
      </c>
      <c r="AB235" s="2">
        <f>('_Настройки'!$B$6+MAX(0;Z235-1)*'_Настройки'!$B$7)*IF(AA235&gt;0;AA235;'_Настройки'!$B$10)</f>
        <v/>
      </c>
      <c r="AC235" s="2">
        <f>AB235*(1+'_Настройки'!$B$8)</f>
        <v/>
      </c>
      <c r="AD235" s="3">
        <f>'_Настройки'!$B$2</f>
        <v/>
      </c>
      <c r="AE235" s="2">
        <f>L235*AD235</f>
        <v/>
      </c>
      <c r="AF235" s="3">
        <f>'_Настройки'!$B$3</f>
        <v/>
      </c>
      <c r="AG235" s="3">
        <f>IFERROR(INDEX('_Комиссия_ВБ'!$B:$B;MATCH(C235;'_Комиссия_ВБ'!$A:$A;0));0,245)</f>
        <v/>
      </c>
      <c r="AH235" s="3">
        <f>AG235+AF235</f>
        <v/>
      </c>
      <c r="AI235" s="2">
        <f>L235*AH235</f>
        <v/>
      </c>
      <c r="AJ235" s="3">
        <f>IFERROR(INDEX('_Комиссия_ВБ'!$C:$C;MATCH(C235;'_Комиссия_ВБ'!$A:$A;0));0,28)</f>
        <v/>
      </c>
      <c r="AK235" s="3">
        <f>AJ235+AF235</f>
        <v/>
      </c>
      <c r="AL235" s="2">
        <f>L235*AK235</f>
        <v/>
      </c>
      <c r="AM235" s="2" t="n"/>
      <c r="AO235" s="3">
        <f>'_Настройки'!$B$5</f>
        <v/>
      </c>
      <c r="AP235" s="2">
        <f>IF(K235&gt;0;K235*AO235;0)</f>
        <v/>
      </c>
      <c r="AQ235" s="2">
        <f>L235-K235-AI235-AE235-IF(AM235&gt;0;AM235;'_Настройки'!$B$9)-AP235-AC235</f>
        <v/>
      </c>
      <c r="AR235" s="3">
        <f>IF(L235&gt;0;AQ235/L235;"")</f>
        <v/>
      </c>
      <c r="AS235" s="3">
        <f>IF(K235&gt;0;AQ235/K235;"")</f>
        <v/>
      </c>
      <c r="AT235" s="2">
        <f>L235-K235-AL235-AE235-IF(AM235&gt;0;AM235;'_Настройки'!$B$9)-AP235-AC235</f>
        <v/>
      </c>
      <c r="AU235" s="3">
        <f>IF(L235&gt;0;AT235/L235;"")</f>
        <v/>
      </c>
      <c r="AV235" s="3">
        <f>IF(K235&gt;0;AT235/K235;"")</f>
        <v/>
      </c>
    </row>
    <row r="236">
      <c r="A236">
        <f>ROW()-1</f>
        <v/>
      </c>
      <c r="K236" s="2">
        <f>IFERROR(INDEX('_Цены_закупки'!$B:$B;MATCH(C236;'_Цены_закупки'!$A:$A;0));"")</f>
        <v/>
      </c>
      <c r="L236" s="2" t="n"/>
      <c r="M236" s="2" t="n"/>
      <c r="N236" s="3">
        <f>IF(AND(M236&gt;0;L236&gt;0);1-L236/M236;"")</f>
        <v/>
      </c>
      <c r="O236" s="2">
        <f>IF(OR(Q236="";K236=0);"";(K236+IF(AM236&gt;0;AM236;'_Настройки'!$B$9)+AP236+AC236+Q236*K236)/(1-AH236-AD236))</f>
        <v/>
      </c>
      <c r="P236" s="2">
        <f>IF(O236="";"";O236-K236-O236*AH236-O236*AD236-IF(AM236&gt;0;AM236;'_Настройки'!$B$9)-AP236-AC236)</f>
        <v/>
      </c>
      <c r="Q236" s="3">
        <f>IF(AND(O236&gt;0;K236&gt;0);P236/K236;"")</f>
        <v/>
      </c>
      <c r="R236" s="2">
        <f>IF(O236="";"";O236-K236-O236*AK236-O236*AD236-IF(AM236&gt;0;AM236;'_Настройки'!$B$9)-AP236-AC236)</f>
        <v/>
      </c>
      <c r="S236" s="3">
        <f>IF(AND(O236&gt;0;K236&gt;0);R236/K236;"")</f>
        <v/>
      </c>
      <c r="T236" s="2" t="n"/>
      <c r="U236" s="3">
        <f>IF(AND(L236&gt;0;T236&gt;0);1-T236/L236;"")</f>
        <v/>
      </c>
      <c r="V236" s="3">
        <f>'_Настройки'!$B$4</f>
        <v/>
      </c>
      <c r="Z236" s="4">
        <f>IF(AND(W236&gt;0;X236&gt;0;Y236&gt;0);W236*X236*Y236/1000;"")</f>
        <v/>
      </c>
      <c r="AB236" s="2">
        <f>('_Настройки'!$B$6+MAX(0;Z236-1)*'_Настройки'!$B$7)*IF(AA236&gt;0;AA236;'_Настройки'!$B$10)</f>
        <v/>
      </c>
      <c r="AC236" s="2">
        <f>AB236*(1+'_Настройки'!$B$8)</f>
        <v/>
      </c>
      <c r="AD236" s="3">
        <f>'_Настройки'!$B$2</f>
        <v/>
      </c>
      <c r="AE236" s="2">
        <f>L236*AD236</f>
        <v/>
      </c>
      <c r="AF236" s="3">
        <f>'_Настройки'!$B$3</f>
        <v/>
      </c>
      <c r="AG236" s="3">
        <f>IFERROR(INDEX('_Комиссия_ВБ'!$B:$B;MATCH(C236;'_Комиссия_ВБ'!$A:$A;0));0,245)</f>
        <v/>
      </c>
      <c r="AH236" s="3">
        <f>AG236+AF236</f>
        <v/>
      </c>
      <c r="AI236" s="2">
        <f>L236*AH236</f>
        <v/>
      </c>
      <c r="AJ236" s="3">
        <f>IFERROR(INDEX('_Комиссия_ВБ'!$C:$C;MATCH(C236;'_Комиссия_ВБ'!$A:$A;0));0,28)</f>
        <v/>
      </c>
      <c r="AK236" s="3">
        <f>AJ236+AF236</f>
        <v/>
      </c>
      <c r="AL236" s="2">
        <f>L236*AK236</f>
        <v/>
      </c>
      <c r="AM236" s="2" t="n"/>
      <c r="AO236" s="3">
        <f>'_Настройки'!$B$5</f>
        <v/>
      </c>
      <c r="AP236" s="2">
        <f>IF(K236&gt;0;K236*AO236;0)</f>
        <v/>
      </c>
      <c r="AQ236" s="2">
        <f>L236-K236-AI236-AE236-IF(AM236&gt;0;AM236;'_Настройки'!$B$9)-AP236-AC236</f>
        <v/>
      </c>
      <c r="AR236" s="3">
        <f>IF(L236&gt;0;AQ236/L236;"")</f>
        <v/>
      </c>
      <c r="AS236" s="3">
        <f>IF(K236&gt;0;AQ236/K236;"")</f>
        <v/>
      </c>
      <c r="AT236" s="2">
        <f>L236-K236-AL236-AE236-IF(AM236&gt;0;AM236;'_Настройки'!$B$9)-AP236-AC236</f>
        <v/>
      </c>
      <c r="AU236" s="3">
        <f>IF(L236&gt;0;AT236/L236;"")</f>
        <v/>
      </c>
      <c r="AV236" s="3">
        <f>IF(K236&gt;0;AT236/K236;"")</f>
        <v/>
      </c>
    </row>
    <row r="237">
      <c r="A237">
        <f>ROW()-1</f>
        <v/>
      </c>
      <c r="K237" s="2">
        <f>IFERROR(INDEX('_Цены_закупки'!$B:$B;MATCH(C237;'_Цены_закупки'!$A:$A;0));"")</f>
        <v/>
      </c>
      <c r="L237" s="2" t="n"/>
      <c r="M237" s="2" t="n"/>
      <c r="N237" s="3">
        <f>IF(AND(M237&gt;0;L237&gt;0);1-L237/M237;"")</f>
        <v/>
      </c>
      <c r="O237" s="2">
        <f>IF(OR(Q237="";K237=0);"";(K237+IF(AM237&gt;0;AM237;'_Настройки'!$B$9)+AP237+AC237+Q237*K237)/(1-AH237-AD237))</f>
        <v/>
      </c>
      <c r="P237" s="2">
        <f>IF(O237="";"";O237-K237-O237*AH237-O237*AD237-IF(AM237&gt;0;AM237;'_Настройки'!$B$9)-AP237-AC237)</f>
        <v/>
      </c>
      <c r="Q237" s="3">
        <f>IF(AND(O237&gt;0;K237&gt;0);P237/K237;"")</f>
        <v/>
      </c>
      <c r="R237" s="2">
        <f>IF(O237="";"";O237-K237-O237*AK237-O237*AD237-IF(AM237&gt;0;AM237;'_Настройки'!$B$9)-AP237-AC237)</f>
        <v/>
      </c>
      <c r="S237" s="3">
        <f>IF(AND(O237&gt;0;K237&gt;0);R237/K237;"")</f>
        <v/>
      </c>
      <c r="T237" s="2" t="n"/>
      <c r="U237" s="3">
        <f>IF(AND(L237&gt;0;T237&gt;0);1-T237/L237;"")</f>
        <v/>
      </c>
      <c r="V237" s="3">
        <f>'_Настройки'!$B$4</f>
        <v/>
      </c>
      <c r="Z237" s="4">
        <f>IF(AND(W237&gt;0;X237&gt;0;Y237&gt;0);W237*X237*Y237/1000;"")</f>
        <v/>
      </c>
      <c r="AB237" s="2">
        <f>('_Настройки'!$B$6+MAX(0;Z237-1)*'_Настройки'!$B$7)*IF(AA237&gt;0;AA237;'_Настройки'!$B$10)</f>
        <v/>
      </c>
      <c r="AC237" s="2">
        <f>AB237*(1+'_Настройки'!$B$8)</f>
        <v/>
      </c>
      <c r="AD237" s="3">
        <f>'_Настройки'!$B$2</f>
        <v/>
      </c>
      <c r="AE237" s="2">
        <f>L237*AD237</f>
        <v/>
      </c>
      <c r="AF237" s="3">
        <f>'_Настройки'!$B$3</f>
        <v/>
      </c>
      <c r="AG237" s="3">
        <f>IFERROR(INDEX('_Комиссия_ВБ'!$B:$B;MATCH(C237;'_Комиссия_ВБ'!$A:$A;0));0,245)</f>
        <v/>
      </c>
      <c r="AH237" s="3">
        <f>AG237+AF237</f>
        <v/>
      </c>
      <c r="AI237" s="2">
        <f>L237*AH237</f>
        <v/>
      </c>
      <c r="AJ237" s="3">
        <f>IFERROR(INDEX('_Комиссия_ВБ'!$C:$C;MATCH(C237;'_Комиссия_ВБ'!$A:$A;0));0,28)</f>
        <v/>
      </c>
      <c r="AK237" s="3">
        <f>AJ237+AF237</f>
        <v/>
      </c>
      <c r="AL237" s="2">
        <f>L237*AK237</f>
        <v/>
      </c>
      <c r="AM237" s="2" t="n"/>
      <c r="AO237" s="3">
        <f>'_Настройки'!$B$5</f>
        <v/>
      </c>
      <c r="AP237" s="2">
        <f>IF(K237&gt;0;K237*AO237;0)</f>
        <v/>
      </c>
      <c r="AQ237" s="2">
        <f>L237-K237-AI237-AE237-IF(AM237&gt;0;AM237;'_Настройки'!$B$9)-AP237-AC237</f>
        <v/>
      </c>
      <c r="AR237" s="3">
        <f>IF(L237&gt;0;AQ237/L237;"")</f>
        <v/>
      </c>
      <c r="AS237" s="3">
        <f>IF(K237&gt;0;AQ237/K237;"")</f>
        <v/>
      </c>
      <c r="AT237" s="2">
        <f>L237-K237-AL237-AE237-IF(AM237&gt;0;AM237;'_Настройки'!$B$9)-AP237-AC237</f>
        <v/>
      </c>
      <c r="AU237" s="3">
        <f>IF(L237&gt;0;AT237/L237;"")</f>
        <v/>
      </c>
      <c r="AV237" s="3">
        <f>IF(K237&gt;0;AT237/K237;"")</f>
        <v/>
      </c>
    </row>
    <row r="238">
      <c r="A238">
        <f>ROW()-1</f>
        <v/>
      </c>
      <c r="K238" s="2">
        <f>IFERROR(INDEX('_Цены_закупки'!$B:$B;MATCH(C238;'_Цены_закупки'!$A:$A;0));"")</f>
        <v/>
      </c>
      <c r="L238" s="2" t="n"/>
      <c r="M238" s="2" t="n"/>
      <c r="N238" s="3">
        <f>IF(AND(M238&gt;0;L238&gt;0);1-L238/M238;"")</f>
        <v/>
      </c>
      <c r="O238" s="2">
        <f>IF(OR(Q238="";K238=0);"";(K238+IF(AM238&gt;0;AM238;'_Настройки'!$B$9)+AP238+AC238+Q238*K238)/(1-AH238-AD238))</f>
        <v/>
      </c>
      <c r="P238" s="2">
        <f>IF(O238="";"";O238-K238-O238*AH238-O238*AD238-IF(AM238&gt;0;AM238;'_Настройки'!$B$9)-AP238-AC238)</f>
        <v/>
      </c>
      <c r="Q238" s="3">
        <f>IF(AND(O238&gt;0;K238&gt;0);P238/K238;"")</f>
        <v/>
      </c>
      <c r="R238" s="2">
        <f>IF(O238="";"";O238-K238-O238*AK238-O238*AD238-IF(AM238&gt;0;AM238;'_Настройки'!$B$9)-AP238-AC238)</f>
        <v/>
      </c>
      <c r="S238" s="3">
        <f>IF(AND(O238&gt;0;K238&gt;0);R238/K238;"")</f>
        <v/>
      </c>
      <c r="T238" s="2" t="n"/>
      <c r="U238" s="3">
        <f>IF(AND(L238&gt;0;T238&gt;0);1-T238/L238;"")</f>
        <v/>
      </c>
      <c r="V238" s="3">
        <f>'_Настройки'!$B$4</f>
        <v/>
      </c>
      <c r="Z238" s="4">
        <f>IF(AND(W238&gt;0;X238&gt;0;Y238&gt;0);W238*X238*Y238/1000;"")</f>
        <v/>
      </c>
      <c r="AB238" s="2">
        <f>('_Настройки'!$B$6+MAX(0;Z238-1)*'_Настройки'!$B$7)*IF(AA238&gt;0;AA238;'_Настройки'!$B$10)</f>
        <v/>
      </c>
      <c r="AC238" s="2">
        <f>AB238*(1+'_Настройки'!$B$8)</f>
        <v/>
      </c>
      <c r="AD238" s="3">
        <f>'_Настройки'!$B$2</f>
        <v/>
      </c>
      <c r="AE238" s="2">
        <f>L238*AD238</f>
        <v/>
      </c>
      <c r="AF238" s="3">
        <f>'_Настройки'!$B$3</f>
        <v/>
      </c>
      <c r="AG238" s="3">
        <f>IFERROR(INDEX('_Комиссия_ВБ'!$B:$B;MATCH(C238;'_Комиссия_ВБ'!$A:$A;0));0,245)</f>
        <v/>
      </c>
      <c r="AH238" s="3">
        <f>AG238+AF238</f>
        <v/>
      </c>
      <c r="AI238" s="2">
        <f>L238*AH238</f>
        <v/>
      </c>
      <c r="AJ238" s="3">
        <f>IFERROR(INDEX('_Комиссия_ВБ'!$C:$C;MATCH(C238;'_Комиссия_ВБ'!$A:$A;0));0,28)</f>
        <v/>
      </c>
      <c r="AK238" s="3">
        <f>AJ238+AF238</f>
        <v/>
      </c>
      <c r="AL238" s="2">
        <f>L238*AK238</f>
        <v/>
      </c>
      <c r="AM238" s="2" t="n"/>
      <c r="AO238" s="3">
        <f>'_Настройки'!$B$5</f>
        <v/>
      </c>
      <c r="AP238" s="2">
        <f>IF(K238&gt;0;K238*AO238;0)</f>
        <v/>
      </c>
      <c r="AQ238" s="2">
        <f>L238-K238-AI238-AE238-IF(AM238&gt;0;AM238;'_Настройки'!$B$9)-AP238-AC238</f>
        <v/>
      </c>
      <c r="AR238" s="3">
        <f>IF(L238&gt;0;AQ238/L238;"")</f>
        <v/>
      </c>
      <c r="AS238" s="3">
        <f>IF(K238&gt;0;AQ238/K238;"")</f>
        <v/>
      </c>
      <c r="AT238" s="2">
        <f>L238-K238-AL238-AE238-IF(AM238&gt;0;AM238;'_Настройки'!$B$9)-AP238-AC238</f>
        <v/>
      </c>
      <c r="AU238" s="3">
        <f>IF(L238&gt;0;AT238/L238;"")</f>
        <v/>
      </c>
      <c r="AV238" s="3">
        <f>IF(K238&gt;0;AT238/K238;"")</f>
        <v/>
      </c>
    </row>
    <row r="239">
      <c r="A239">
        <f>ROW()-1</f>
        <v/>
      </c>
      <c r="K239" s="2">
        <f>IFERROR(INDEX('_Цены_закупки'!$B:$B;MATCH(C239;'_Цены_закупки'!$A:$A;0));"")</f>
        <v/>
      </c>
      <c r="L239" s="2" t="n"/>
      <c r="M239" s="2" t="n"/>
      <c r="N239" s="3">
        <f>IF(AND(M239&gt;0;L239&gt;0);1-L239/M239;"")</f>
        <v/>
      </c>
      <c r="O239" s="2">
        <f>IF(OR(Q239="";K239=0);"";(K239+IF(AM239&gt;0;AM239;'_Настройки'!$B$9)+AP239+AC239+Q239*K239)/(1-AH239-AD239))</f>
        <v/>
      </c>
      <c r="P239" s="2">
        <f>IF(O239="";"";O239-K239-O239*AH239-O239*AD239-IF(AM239&gt;0;AM239;'_Настройки'!$B$9)-AP239-AC239)</f>
        <v/>
      </c>
      <c r="Q239" s="3">
        <f>IF(AND(O239&gt;0;K239&gt;0);P239/K239;"")</f>
        <v/>
      </c>
      <c r="R239" s="2">
        <f>IF(O239="";"";O239-K239-O239*AK239-O239*AD239-IF(AM239&gt;0;AM239;'_Настройки'!$B$9)-AP239-AC239)</f>
        <v/>
      </c>
      <c r="S239" s="3">
        <f>IF(AND(O239&gt;0;K239&gt;0);R239/K239;"")</f>
        <v/>
      </c>
      <c r="T239" s="2" t="n"/>
      <c r="U239" s="3">
        <f>IF(AND(L239&gt;0;T239&gt;0);1-T239/L239;"")</f>
        <v/>
      </c>
      <c r="V239" s="3">
        <f>'_Настройки'!$B$4</f>
        <v/>
      </c>
      <c r="Z239" s="4">
        <f>IF(AND(W239&gt;0;X239&gt;0;Y239&gt;0);W239*X239*Y239/1000;"")</f>
        <v/>
      </c>
      <c r="AB239" s="2">
        <f>('_Настройки'!$B$6+MAX(0;Z239-1)*'_Настройки'!$B$7)*IF(AA239&gt;0;AA239;'_Настройки'!$B$10)</f>
        <v/>
      </c>
      <c r="AC239" s="2">
        <f>AB239*(1+'_Настройки'!$B$8)</f>
        <v/>
      </c>
      <c r="AD239" s="3">
        <f>'_Настройки'!$B$2</f>
        <v/>
      </c>
      <c r="AE239" s="2">
        <f>L239*AD239</f>
        <v/>
      </c>
      <c r="AF239" s="3">
        <f>'_Настройки'!$B$3</f>
        <v/>
      </c>
      <c r="AG239" s="3">
        <f>IFERROR(INDEX('_Комиссия_ВБ'!$B:$B;MATCH(C239;'_Комиссия_ВБ'!$A:$A;0));0,245)</f>
        <v/>
      </c>
      <c r="AH239" s="3">
        <f>AG239+AF239</f>
        <v/>
      </c>
      <c r="AI239" s="2">
        <f>L239*AH239</f>
        <v/>
      </c>
      <c r="AJ239" s="3">
        <f>IFERROR(INDEX('_Комиссия_ВБ'!$C:$C;MATCH(C239;'_Комиссия_ВБ'!$A:$A;0));0,28)</f>
        <v/>
      </c>
      <c r="AK239" s="3">
        <f>AJ239+AF239</f>
        <v/>
      </c>
      <c r="AL239" s="2">
        <f>L239*AK239</f>
        <v/>
      </c>
      <c r="AM239" s="2" t="n"/>
      <c r="AO239" s="3">
        <f>'_Настройки'!$B$5</f>
        <v/>
      </c>
      <c r="AP239" s="2">
        <f>IF(K239&gt;0;K239*AO239;0)</f>
        <v/>
      </c>
      <c r="AQ239" s="2">
        <f>L239-K239-AI239-AE239-IF(AM239&gt;0;AM239;'_Настройки'!$B$9)-AP239-AC239</f>
        <v/>
      </c>
      <c r="AR239" s="3">
        <f>IF(L239&gt;0;AQ239/L239;"")</f>
        <v/>
      </c>
      <c r="AS239" s="3">
        <f>IF(K239&gt;0;AQ239/K239;"")</f>
        <v/>
      </c>
      <c r="AT239" s="2">
        <f>L239-K239-AL239-AE239-IF(AM239&gt;0;AM239;'_Настройки'!$B$9)-AP239-AC239</f>
        <v/>
      </c>
      <c r="AU239" s="3">
        <f>IF(L239&gt;0;AT239/L239;"")</f>
        <v/>
      </c>
      <c r="AV239" s="3">
        <f>IF(K239&gt;0;AT239/K239;"")</f>
        <v/>
      </c>
    </row>
    <row r="240">
      <c r="A240">
        <f>ROW()-1</f>
        <v/>
      </c>
      <c r="K240" s="2">
        <f>IFERROR(INDEX('_Цены_закупки'!$B:$B;MATCH(C240;'_Цены_закупки'!$A:$A;0));"")</f>
        <v/>
      </c>
      <c r="L240" s="2" t="n"/>
      <c r="M240" s="2" t="n"/>
      <c r="N240" s="3">
        <f>IF(AND(M240&gt;0;L240&gt;0);1-L240/M240;"")</f>
        <v/>
      </c>
      <c r="O240" s="2">
        <f>IF(OR(Q240="";K240=0);"";(K240+IF(AM240&gt;0;AM240;'_Настройки'!$B$9)+AP240+AC240+Q240*K240)/(1-AH240-AD240))</f>
        <v/>
      </c>
      <c r="P240" s="2">
        <f>IF(O240="";"";O240-K240-O240*AH240-O240*AD240-IF(AM240&gt;0;AM240;'_Настройки'!$B$9)-AP240-AC240)</f>
        <v/>
      </c>
      <c r="Q240" s="3">
        <f>IF(AND(O240&gt;0;K240&gt;0);P240/K240;"")</f>
        <v/>
      </c>
      <c r="R240" s="2">
        <f>IF(O240="";"";O240-K240-O240*AK240-O240*AD240-IF(AM240&gt;0;AM240;'_Настройки'!$B$9)-AP240-AC240)</f>
        <v/>
      </c>
      <c r="S240" s="3">
        <f>IF(AND(O240&gt;0;K240&gt;0);R240/K240;"")</f>
        <v/>
      </c>
      <c r="T240" s="2" t="n"/>
      <c r="U240" s="3">
        <f>IF(AND(L240&gt;0;T240&gt;0);1-T240/L240;"")</f>
        <v/>
      </c>
      <c r="V240" s="3">
        <f>'_Настройки'!$B$4</f>
        <v/>
      </c>
      <c r="Z240" s="4">
        <f>IF(AND(W240&gt;0;X240&gt;0;Y240&gt;0);W240*X240*Y240/1000;"")</f>
        <v/>
      </c>
      <c r="AB240" s="2">
        <f>('_Настройки'!$B$6+MAX(0;Z240-1)*'_Настройки'!$B$7)*IF(AA240&gt;0;AA240;'_Настройки'!$B$10)</f>
        <v/>
      </c>
      <c r="AC240" s="2">
        <f>AB240*(1+'_Настройки'!$B$8)</f>
        <v/>
      </c>
      <c r="AD240" s="3">
        <f>'_Настройки'!$B$2</f>
        <v/>
      </c>
      <c r="AE240" s="2">
        <f>L240*AD240</f>
        <v/>
      </c>
      <c r="AF240" s="3">
        <f>'_Настройки'!$B$3</f>
        <v/>
      </c>
      <c r="AG240" s="3">
        <f>IFERROR(INDEX('_Комиссия_ВБ'!$B:$B;MATCH(C240;'_Комиссия_ВБ'!$A:$A;0));0,245)</f>
        <v/>
      </c>
      <c r="AH240" s="3">
        <f>AG240+AF240</f>
        <v/>
      </c>
      <c r="AI240" s="2">
        <f>L240*AH240</f>
        <v/>
      </c>
      <c r="AJ240" s="3">
        <f>IFERROR(INDEX('_Комиссия_ВБ'!$C:$C;MATCH(C240;'_Комиссия_ВБ'!$A:$A;0));0,28)</f>
        <v/>
      </c>
      <c r="AK240" s="3">
        <f>AJ240+AF240</f>
        <v/>
      </c>
      <c r="AL240" s="2">
        <f>L240*AK240</f>
        <v/>
      </c>
      <c r="AM240" s="2" t="n"/>
      <c r="AO240" s="3">
        <f>'_Настройки'!$B$5</f>
        <v/>
      </c>
      <c r="AP240" s="2">
        <f>IF(K240&gt;0;K240*AO240;0)</f>
        <v/>
      </c>
      <c r="AQ240" s="2">
        <f>L240-K240-AI240-AE240-IF(AM240&gt;0;AM240;'_Настройки'!$B$9)-AP240-AC240</f>
        <v/>
      </c>
      <c r="AR240" s="3">
        <f>IF(L240&gt;0;AQ240/L240;"")</f>
        <v/>
      </c>
      <c r="AS240" s="3">
        <f>IF(K240&gt;0;AQ240/K240;"")</f>
        <v/>
      </c>
      <c r="AT240" s="2">
        <f>L240-K240-AL240-AE240-IF(AM240&gt;0;AM240;'_Настройки'!$B$9)-AP240-AC240</f>
        <v/>
      </c>
      <c r="AU240" s="3">
        <f>IF(L240&gt;0;AT240/L240;"")</f>
        <v/>
      </c>
      <c r="AV240" s="3">
        <f>IF(K240&gt;0;AT240/K240;"")</f>
        <v/>
      </c>
    </row>
    <row r="241">
      <c r="A241">
        <f>ROW()-1</f>
        <v/>
      </c>
      <c r="K241" s="2">
        <f>IFERROR(INDEX('_Цены_закупки'!$B:$B;MATCH(C241;'_Цены_закупки'!$A:$A;0));"")</f>
        <v/>
      </c>
      <c r="L241" s="2" t="n"/>
      <c r="M241" s="2" t="n"/>
      <c r="N241" s="3">
        <f>IF(AND(M241&gt;0;L241&gt;0);1-L241/M241;"")</f>
        <v/>
      </c>
      <c r="O241" s="2">
        <f>IF(OR(Q241="";K241=0);"";(K241+IF(AM241&gt;0;AM241;'_Настройки'!$B$9)+AP241+AC241+Q241*K241)/(1-AH241-AD241))</f>
        <v/>
      </c>
      <c r="P241" s="2">
        <f>IF(O241="";"";O241-K241-O241*AH241-O241*AD241-IF(AM241&gt;0;AM241;'_Настройки'!$B$9)-AP241-AC241)</f>
        <v/>
      </c>
      <c r="Q241" s="3">
        <f>IF(AND(O241&gt;0;K241&gt;0);P241/K241;"")</f>
        <v/>
      </c>
      <c r="R241" s="2">
        <f>IF(O241="";"";O241-K241-O241*AK241-O241*AD241-IF(AM241&gt;0;AM241;'_Настройки'!$B$9)-AP241-AC241)</f>
        <v/>
      </c>
      <c r="S241" s="3">
        <f>IF(AND(O241&gt;0;K241&gt;0);R241/K241;"")</f>
        <v/>
      </c>
      <c r="T241" s="2" t="n"/>
      <c r="U241" s="3">
        <f>IF(AND(L241&gt;0;T241&gt;0);1-T241/L241;"")</f>
        <v/>
      </c>
      <c r="V241" s="3">
        <f>'_Настройки'!$B$4</f>
        <v/>
      </c>
      <c r="Z241" s="4">
        <f>IF(AND(W241&gt;0;X241&gt;0;Y241&gt;0);W241*X241*Y241/1000;"")</f>
        <v/>
      </c>
      <c r="AB241" s="2">
        <f>('_Настройки'!$B$6+MAX(0;Z241-1)*'_Настройки'!$B$7)*IF(AA241&gt;0;AA241;'_Настройки'!$B$10)</f>
        <v/>
      </c>
      <c r="AC241" s="2">
        <f>AB241*(1+'_Настройки'!$B$8)</f>
        <v/>
      </c>
      <c r="AD241" s="3">
        <f>'_Настройки'!$B$2</f>
        <v/>
      </c>
      <c r="AE241" s="2">
        <f>L241*AD241</f>
        <v/>
      </c>
      <c r="AF241" s="3">
        <f>'_Настройки'!$B$3</f>
        <v/>
      </c>
      <c r="AG241" s="3">
        <f>IFERROR(INDEX('_Комиссия_ВБ'!$B:$B;MATCH(C241;'_Комиссия_ВБ'!$A:$A;0));0,245)</f>
        <v/>
      </c>
      <c r="AH241" s="3">
        <f>AG241+AF241</f>
        <v/>
      </c>
      <c r="AI241" s="2">
        <f>L241*AH241</f>
        <v/>
      </c>
      <c r="AJ241" s="3">
        <f>IFERROR(INDEX('_Комиссия_ВБ'!$C:$C;MATCH(C241;'_Комиссия_ВБ'!$A:$A;0));0,28)</f>
        <v/>
      </c>
      <c r="AK241" s="3">
        <f>AJ241+AF241</f>
        <v/>
      </c>
      <c r="AL241" s="2">
        <f>L241*AK241</f>
        <v/>
      </c>
      <c r="AM241" s="2" t="n"/>
      <c r="AO241" s="3">
        <f>'_Настройки'!$B$5</f>
        <v/>
      </c>
      <c r="AP241" s="2">
        <f>IF(K241&gt;0;K241*AO241;0)</f>
        <v/>
      </c>
      <c r="AQ241" s="2">
        <f>L241-K241-AI241-AE241-IF(AM241&gt;0;AM241;'_Настройки'!$B$9)-AP241-AC241</f>
        <v/>
      </c>
      <c r="AR241" s="3">
        <f>IF(L241&gt;0;AQ241/L241;"")</f>
        <v/>
      </c>
      <c r="AS241" s="3">
        <f>IF(K241&gt;0;AQ241/K241;"")</f>
        <v/>
      </c>
      <c r="AT241" s="2">
        <f>L241-K241-AL241-AE241-IF(AM241&gt;0;AM241;'_Настройки'!$B$9)-AP241-AC241</f>
        <v/>
      </c>
      <c r="AU241" s="3">
        <f>IF(L241&gt;0;AT241/L241;"")</f>
        <v/>
      </c>
      <c r="AV241" s="3">
        <f>IF(K241&gt;0;AT241/K241;"")</f>
        <v/>
      </c>
    </row>
    <row r="242">
      <c r="A242">
        <f>ROW()-1</f>
        <v/>
      </c>
      <c r="K242" s="2">
        <f>IFERROR(INDEX('_Цены_закупки'!$B:$B;MATCH(C242;'_Цены_закупки'!$A:$A;0));"")</f>
        <v/>
      </c>
      <c r="L242" s="2" t="n"/>
      <c r="M242" s="2" t="n"/>
      <c r="N242" s="3">
        <f>IF(AND(M242&gt;0;L242&gt;0);1-L242/M242;"")</f>
        <v/>
      </c>
      <c r="O242" s="2">
        <f>IF(OR(Q242="";K242=0);"";(K242+IF(AM242&gt;0;AM242;'_Настройки'!$B$9)+AP242+AC242+Q242*K242)/(1-AH242-AD242))</f>
        <v/>
      </c>
      <c r="P242" s="2">
        <f>IF(O242="";"";O242-K242-O242*AH242-O242*AD242-IF(AM242&gt;0;AM242;'_Настройки'!$B$9)-AP242-AC242)</f>
        <v/>
      </c>
      <c r="Q242" s="3">
        <f>IF(AND(O242&gt;0;K242&gt;0);P242/K242;"")</f>
        <v/>
      </c>
      <c r="R242" s="2">
        <f>IF(O242="";"";O242-K242-O242*AK242-O242*AD242-IF(AM242&gt;0;AM242;'_Настройки'!$B$9)-AP242-AC242)</f>
        <v/>
      </c>
      <c r="S242" s="3">
        <f>IF(AND(O242&gt;0;K242&gt;0);R242/K242;"")</f>
        <v/>
      </c>
      <c r="T242" s="2" t="n"/>
      <c r="U242" s="3">
        <f>IF(AND(L242&gt;0;T242&gt;0);1-T242/L242;"")</f>
        <v/>
      </c>
      <c r="V242" s="3">
        <f>'_Настройки'!$B$4</f>
        <v/>
      </c>
      <c r="Z242" s="4">
        <f>IF(AND(W242&gt;0;X242&gt;0;Y242&gt;0);W242*X242*Y242/1000;"")</f>
        <v/>
      </c>
      <c r="AB242" s="2">
        <f>('_Настройки'!$B$6+MAX(0;Z242-1)*'_Настройки'!$B$7)*IF(AA242&gt;0;AA242;'_Настройки'!$B$10)</f>
        <v/>
      </c>
      <c r="AC242" s="2">
        <f>AB242*(1+'_Настройки'!$B$8)</f>
        <v/>
      </c>
      <c r="AD242" s="3">
        <f>'_Настройки'!$B$2</f>
        <v/>
      </c>
      <c r="AE242" s="2">
        <f>L242*AD242</f>
        <v/>
      </c>
      <c r="AF242" s="3">
        <f>'_Настройки'!$B$3</f>
        <v/>
      </c>
      <c r="AG242" s="3">
        <f>IFERROR(INDEX('_Комиссия_ВБ'!$B:$B;MATCH(C242;'_Комиссия_ВБ'!$A:$A;0));0,245)</f>
        <v/>
      </c>
      <c r="AH242" s="3">
        <f>AG242+AF242</f>
        <v/>
      </c>
      <c r="AI242" s="2">
        <f>L242*AH242</f>
        <v/>
      </c>
      <c r="AJ242" s="3">
        <f>IFERROR(INDEX('_Комиссия_ВБ'!$C:$C;MATCH(C242;'_Комиссия_ВБ'!$A:$A;0));0,28)</f>
        <v/>
      </c>
      <c r="AK242" s="3">
        <f>AJ242+AF242</f>
        <v/>
      </c>
      <c r="AL242" s="2">
        <f>L242*AK242</f>
        <v/>
      </c>
      <c r="AM242" s="2" t="n"/>
      <c r="AO242" s="3">
        <f>'_Настройки'!$B$5</f>
        <v/>
      </c>
      <c r="AP242" s="2">
        <f>IF(K242&gt;0;K242*AO242;0)</f>
        <v/>
      </c>
      <c r="AQ242" s="2">
        <f>L242-K242-AI242-AE242-IF(AM242&gt;0;AM242;'_Настройки'!$B$9)-AP242-AC242</f>
        <v/>
      </c>
      <c r="AR242" s="3">
        <f>IF(L242&gt;0;AQ242/L242;"")</f>
        <v/>
      </c>
      <c r="AS242" s="3">
        <f>IF(K242&gt;0;AQ242/K242;"")</f>
        <v/>
      </c>
      <c r="AT242" s="2">
        <f>L242-K242-AL242-AE242-IF(AM242&gt;0;AM242;'_Настройки'!$B$9)-AP242-AC242</f>
        <v/>
      </c>
      <c r="AU242" s="3">
        <f>IF(L242&gt;0;AT242/L242;"")</f>
        <v/>
      </c>
      <c r="AV242" s="3">
        <f>IF(K242&gt;0;AT242/K242;"")</f>
        <v/>
      </c>
    </row>
    <row r="243">
      <c r="A243">
        <f>ROW()-1</f>
        <v/>
      </c>
      <c r="K243" s="2">
        <f>IFERROR(INDEX('_Цены_закупки'!$B:$B;MATCH(C243;'_Цены_закупки'!$A:$A;0));"")</f>
        <v/>
      </c>
      <c r="L243" s="2" t="n"/>
      <c r="M243" s="2" t="n"/>
      <c r="N243" s="3">
        <f>IF(AND(M243&gt;0;L243&gt;0);1-L243/M243;"")</f>
        <v/>
      </c>
      <c r="O243" s="2">
        <f>IF(OR(Q243="";K243=0);"";(K243+IF(AM243&gt;0;AM243;'_Настройки'!$B$9)+AP243+AC243+Q243*K243)/(1-AH243-AD243))</f>
        <v/>
      </c>
      <c r="P243" s="2">
        <f>IF(O243="";"";O243-K243-O243*AH243-O243*AD243-IF(AM243&gt;0;AM243;'_Настройки'!$B$9)-AP243-AC243)</f>
        <v/>
      </c>
      <c r="Q243" s="3">
        <f>IF(AND(O243&gt;0;K243&gt;0);P243/K243;"")</f>
        <v/>
      </c>
      <c r="R243" s="2">
        <f>IF(O243="";"";O243-K243-O243*AK243-O243*AD243-IF(AM243&gt;0;AM243;'_Настройки'!$B$9)-AP243-AC243)</f>
        <v/>
      </c>
      <c r="S243" s="3">
        <f>IF(AND(O243&gt;0;K243&gt;0);R243/K243;"")</f>
        <v/>
      </c>
      <c r="T243" s="2" t="n"/>
      <c r="U243" s="3">
        <f>IF(AND(L243&gt;0;T243&gt;0);1-T243/L243;"")</f>
        <v/>
      </c>
      <c r="V243" s="3">
        <f>'_Настройки'!$B$4</f>
        <v/>
      </c>
      <c r="Z243" s="4">
        <f>IF(AND(W243&gt;0;X243&gt;0;Y243&gt;0);W243*X243*Y243/1000;"")</f>
        <v/>
      </c>
      <c r="AB243" s="2">
        <f>('_Настройки'!$B$6+MAX(0;Z243-1)*'_Настройки'!$B$7)*IF(AA243&gt;0;AA243;'_Настройки'!$B$10)</f>
        <v/>
      </c>
      <c r="AC243" s="2">
        <f>AB243*(1+'_Настройки'!$B$8)</f>
        <v/>
      </c>
      <c r="AD243" s="3">
        <f>'_Настройки'!$B$2</f>
        <v/>
      </c>
      <c r="AE243" s="2">
        <f>L243*AD243</f>
        <v/>
      </c>
      <c r="AF243" s="3">
        <f>'_Настройки'!$B$3</f>
        <v/>
      </c>
      <c r="AG243" s="3">
        <f>IFERROR(INDEX('_Комиссия_ВБ'!$B:$B;MATCH(C243;'_Комиссия_ВБ'!$A:$A;0));0,245)</f>
        <v/>
      </c>
      <c r="AH243" s="3">
        <f>AG243+AF243</f>
        <v/>
      </c>
      <c r="AI243" s="2">
        <f>L243*AH243</f>
        <v/>
      </c>
      <c r="AJ243" s="3">
        <f>IFERROR(INDEX('_Комиссия_ВБ'!$C:$C;MATCH(C243;'_Комиссия_ВБ'!$A:$A;0));0,28)</f>
        <v/>
      </c>
      <c r="AK243" s="3">
        <f>AJ243+AF243</f>
        <v/>
      </c>
      <c r="AL243" s="2">
        <f>L243*AK243</f>
        <v/>
      </c>
      <c r="AM243" s="2" t="n"/>
      <c r="AO243" s="3">
        <f>'_Настройки'!$B$5</f>
        <v/>
      </c>
      <c r="AP243" s="2">
        <f>IF(K243&gt;0;K243*AO243;0)</f>
        <v/>
      </c>
      <c r="AQ243" s="2">
        <f>L243-K243-AI243-AE243-IF(AM243&gt;0;AM243;'_Настройки'!$B$9)-AP243-AC243</f>
        <v/>
      </c>
      <c r="AR243" s="3">
        <f>IF(L243&gt;0;AQ243/L243;"")</f>
        <v/>
      </c>
      <c r="AS243" s="3">
        <f>IF(K243&gt;0;AQ243/K243;"")</f>
        <v/>
      </c>
      <c r="AT243" s="2">
        <f>L243-K243-AL243-AE243-IF(AM243&gt;0;AM243;'_Настройки'!$B$9)-AP243-AC243</f>
        <v/>
      </c>
      <c r="AU243" s="3">
        <f>IF(L243&gt;0;AT243/L243;"")</f>
        <v/>
      </c>
      <c r="AV243" s="3">
        <f>IF(K243&gt;0;AT243/K243;"")</f>
        <v/>
      </c>
    </row>
    <row r="244">
      <c r="A244">
        <f>ROW()-1</f>
        <v/>
      </c>
      <c r="K244" s="2">
        <f>IFERROR(INDEX('_Цены_закупки'!$B:$B;MATCH(C244;'_Цены_закупки'!$A:$A;0));"")</f>
        <v/>
      </c>
      <c r="L244" s="2" t="n"/>
      <c r="M244" s="2" t="n"/>
      <c r="N244" s="3">
        <f>IF(AND(M244&gt;0;L244&gt;0);1-L244/M244;"")</f>
        <v/>
      </c>
      <c r="O244" s="2">
        <f>IF(OR(Q244="";K244=0);"";(K244+IF(AM244&gt;0;AM244;'_Настройки'!$B$9)+AP244+AC244+Q244*K244)/(1-AH244-AD244))</f>
        <v/>
      </c>
      <c r="P244" s="2">
        <f>IF(O244="";"";O244-K244-O244*AH244-O244*AD244-IF(AM244&gt;0;AM244;'_Настройки'!$B$9)-AP244-AC244)</f>
        <v/>
      </c>
      <c r="Q244" s="3">
        <f>IF(AND(O244&gt;0;K244&gt;0);P244/K244;"")</f>
        <v/>
      </c>
      <c r="R244" s="2">
        <f>IF(O244="";"";O244-K244-O244*AK244-O244*AD244-IF(AM244&gt;0;AM244;'_Настройки'!$B$9)-AP244-AC244)</f>
        <v/>
      </c>
      <c r="S244" s="3">
        <f>IF(AND(O244&gt;0;K244&gt;0);R244/K244;"")</f>
        <v/>
      </c>
      <c r="T244" s="2" t="n"/>
      <c r="U244" s="3">
        <f>IF(AND(L244&gt;0;T244&gt;0);1-T244/L244;"")</f>
        <v/>
      </c>
      <c r="V244" s="3">
        <f>'_Настройки'!$B$4</f>
        <v/>
      </c>
      <c r="Z244" s="4">
        <f>IF(AND(W244&gt;0;X244&gt;0;Y244&gt;0);W244*X244*Y244/1000;"")</f>
        <v/>
      </c>
      <c r="AB244" s="2">
        <f>('_Настройки'!$B$6+MAX(0;Z244-1)*'_Настройки'!$B$7)*IF(AA244&gt;0;AA244;'_Настройки'!$B$10)</f>
        <v/>
      </c>
      <c r="AC244" s="2">
        <f>AB244*(1+'_Настройки'!$B$8)</f>
        <v/>
      </c>
      <c r="AD244" s="3">
        <f>'_Настройки'!$B$2</f>
        <v/>
      </c>
      <c r="AE244" s="2">
        <f>L244*AD244</f>
        <v/>
      </c>
      <c r="AF244" s="3">
        <f>'_Настройки'!$B$3</f>
        <v/>
      </c>
      <c r="AG244" s="3">
        <f>IFERROR(INDEX('_Комиссия_ВБ'!$B:$B;MATCH(C244;'_Комиссия_ВБ'!$A:$A;0));0,245)</f>
        <v/>
      </c>
      <c r="AH244" s="3">
        <f>AG244+AF244</f>
        <v/>
      </c>
      <c r="AI244" s="2">
        <f>L244*AH244</f>
        <v/>
      </c>
      <c r="AJ244" s="3">
        <f>IFERROR(INDEX('_Комиссия_ВБ'!$C:$C;MATCH(C244;'_Комиссия_ВБ'!$A:$A;0));0,28)</f>
        <v/>
      </c>
      <c r="AK244" s="3">
        <f>AJ244+AF244</f>
        <v/>
      </c>
      <c r="AL244" s="2">
        <f>L244*AK244</f>
        <v/>
      </c>
      <c r="AM244" s="2" t="n"/>
      <c r="AO244" s="3">
        <f>'_Настройки'!$B$5</f>
        <v/>
      </c>
      <c r="AP244" s="2">
        <f>IF(K244&gt;0;K244*AO244;0)</f>
        <v/>
      </c>
      <c r="AQ244" s="2">
        <f>L244-K244-AI244-AE244-IF(AM244&gt;0;AM244;'_Настройки'!$B$9)-AP244-AC244</f>
        <v/>
      </c>
      <c r="AR244" s="3">
        <f>IF(L244&gt;0;AQ244/L244;"")</f>
        <v/>
      </c>
      <c r="AS244" s="3">
        <f>IF(K244&gt;0;AQ244/K244;"")</f>
        <v/>
      </c>
      <c r="AT244" s="2">
        <f>L244-K244-AL244-AE244-IF(AM244&gt;0;AM244;'_Настройки'!$B$9)-AP244-AC244</f>
        <v/>
      </c>
      <c r="AU244" s="3">
        <f>IF(L244&gt;0;AT244/L244;"")</f>
        <v/>
      </c>
      <c r="AV244" s="3">
        <f>IF(K244&gt;0;AT244/K244;"")</f>
        <v/>
      </c>
    </row>
    <row r="245">
      <c r="A245">
        <f>ROW()-1</f>
        <v/>
      </c>
      <c r="K245" s="2">
        <f>IFERROR(INDEX('_Цены_закупки'!$B:$B;MATCH(C245;'_Цены_закупки'!$A:$A;0));"")</f>
        <v/>
      </c>
      <c r="L245" s="2" t="n"/>
      <c r="M245" s="2" t="n"/>
      <c r="N245" s="3">
        <f>IF(AND(M245&gt;0;L245&gt;0);1-L245/M245;"")</f>
        <v/>
      </c>
      <c r="O245" s="2">
        <f>IF(OR(Q245="";K245=0);"";(K245+IF(AM245&gt;0;AM245;'_Настройки'!$B$9)+AP245+AC245+Q245*K245)/(1-AH245-AD245))</f>
        <v/>
      </c>
      <c r="P245" s="2">
        <f>IF(O245="";"";O245-K245-O245*AH245-O245*AD245-IF(AM245&gt;0;AM245;'_Настройки'!$B$9)-AP245-AC245)</f>
        <v/>
      </c>
      <c r="Q245" s="3">
        <f>IF(AND(O245&gt;0;K245&gt;0);P245/K245;"")</f>
        <v/>
      </c>
      <c r="R245" s="2">
        <f>IF(O245="";"";O245-K245-O245*AK245-O245*AD245-IF(AM245&gt;0;AM245;'_Настройки'!$B$9)-AP245-AC245)</f>
        <v/>
      </c>
      <c r="S245" s="3">
        <f>IF(AND(O245&gt;0;K245&gt;0);R245/K245;"")</f>
        <v/>
      </c>
      <c r="T245" s="2" t="n"/>
      <c r="U245" s="3">
        <f>IF(AND(L245&gt;0;T245&gt;0);1-T245/L245;"")</f>
        <v/>
      </c>
      <c r="V245" s="3">
        <f>'_Настройки'!$B$4</f>
        <v/>
      </c>
      <c r="Z245" s="4">
        <f>IF(AND(W245&gt;0;X245&gt;0;Y245&gt;0);W245*X245*Y245/1000;"")</f>
        <v/>
      </c>
      <c r="AB245" s="2">
        <f>('_Настройки'!$B$6+MAX(0;Z245-1)*'_Настройки'!$B$7)*IF(AA245&gt;0;AA245;'_Настройки'!$B$10)</f>
        <v/>
      </c>
      <c r="AC245" s="2">
        <f>AB245*(1+'_Настройки'!$B$8)</f>
        <v/>
      </c>
      <c r="AD245" s="3">
        <f>'_Настройки'!$B$2</f>
        <v/>
      </c>
      <c r="AE245" s="2">
        <f>L245*AD245</f>
        <v/>
      </c>
      <c r="AF245" s="3">
        <f>'_Настройки'!$B$3</f>
        <v/>
      </c>
      <c r="AG245" s="3">
        <f>IFERROR(INDEX('_Комиссия_ВБ'!$B:$B;MATCH(C245;'_Комиссия_ВБ'!$A:$A;0));0,245)</f>
        <v/>
      </c>
      <c r="AH245" s="3">
        <f>AG245+AF245</f>
        <v/>
      </c>
      <c r="AI245" s="2">
        <f>L245*AH245</f>
        <v/>
      </c>
      <c r="AJ245" s="3">
        <f>IFERROR(INDEX('_Комиссия_ВБ'!$C:$C;MATCH(C245;'_Комиссия_ВБ'!$A:$A;0));0,28)</f>
        <v/>
      </c>
      <c r="AK245" s="3">
        <f>AJ245+AF245</f>
        <v/>
      </c>
      <c r="AL245" s="2">
        <f>L245*AK245</f>
        <v/>
      </c>
      <c r="AM245" s="2" t="n"/>
      <c r="AO245" s="3">
        <f>'_Настройки'!$B$5</f>
        <v/>
      </c>
      <c r="AP245" s="2">
        <f>IF(K245&gt;0;K245*AO245;0)</f>
        <v/>
      </c>
      <c r="AQ245" s="2">
        <f>L245-K245-AI245-AE245-IF(AM245&gt;0;AM245;'_Настройки'!$B$9)-AP245-AC245</f>
        <v/>
      </c>
      <c r="AR245" s="3">
        <f>IF(L245&gt;0;AQ245/L245;"")</f>
        <v/>
      </c>
      <c r="AS245" s="3">
        <f>IF(K245&gt;0;AQ245/K245;"")</f>
        <v/>
      </c>
      <c r="AT245" s="2">
        <f>L245-K245-AL245-AE245-IF(AM245&gt;0;AM245;'_Настройки'!$B$9)-AP245-AC245</f>
        <v/>
      </c>
      <c r="AU245" s="3">
        <f>IF(L245&gt;0;AT245/L245;"")</f>
        <v/>
      </c>
      <c r="AV245" s="3">
        <f>IF(K245&gt;0;AT245/K245;"")</f>
        <v/>
      </c>
    </row>
    <row r="246">
      <c r="A246">
        <f>ROW()-1</f>
        <v/>
      </c>
      <c r="K246" s="2">
        <f>IFERROR(INDEX('_Цены_закупки'!$B:$B;MATCH(C246;'_Цены_закупки'!$A:$A;0));"")</f>
        <v/>
      </c>
      <c r="L246" s="2" t="n"/>
      <c r="M246" s="2" t="n"/>
      <c r="N246" s="3">
        <f>IF(AND(M246&gt;0;L246&gt;0);1-L246/M246;"")</f>
        <v/>
      </c>
      <c r="O246" s="2">
        <f>IF(OR(Q246="";K246=0);"";(K246+IF(AM246&gt;0;AM246;'_Настройки'!$B$9)+AP246+AC246+Q246*K246)/(1-AH246-AD246))</f>
        <v/>
      </c>
      <c r="P246" s="2">
        <f>IF(O246="";"";O246-K246-O246*AH246-O246*AD246-IF(AM246&gt;0;AM246;'_Настройки'!$B$9)-AP246-AC246)</f>
        <v/>
      </c>
      <c r="Q246" s="3">
        <f>IF(AND(O246&gt;0;K246&gt;0);P246/K246;"")</f>
        <v/>
      </c>
      <c r="R246" s="2">
        <f>IF(O246="";"";O246-K246-O246*AK246-O246*AD246-IF(AM246&gt;0;AM246;'_Настройки'!$B$9)-AP246-AC246)</f>
        <v/>
      </c>
      <c r="S246" s="3">
        <f>IF(AND(O246&gt;0;K246&gt;0);R246/K246;"")</f>
        <v/>
      </c>
      <c r="T246" s="2" t="n"/>
      <c r="U246" s="3">
        <f>IF(AND(L246&gt;0;T246&gt;0);1-T246/L246;"")</f>
        <v/>
      </c>
      <c r="V246" s="3">
        <f>'_Настройки'!$B$4</f>
        <v/>
      </c>
      <c r="Z246" s="4">
        <f>IF(AND(W246&gt;0;X246&gt;0;Y246&gt;0);W246*X246*Y246/1000;"")</f>
        <v/>
      </c>
      <c r="AB246" s="2">
        <f>('_Настройки'!$B$6+MAX(0;Z246-1)*'_Настройки'!$B$7)*IF(AA246&gt;0;AA246;'_Настройки'!$B$10)</f>
        <v/>
      </c>
      <c r="AC246" s="2">
        <f>AB246*(1+'_Настройки'!$B$8)</f>
        <v/>
      </c>
      <c r="AD246" s="3">
        <f>'_Настройки'!$B$2</f>
        <v/>
      </c>
      <c r="AE246" s="2">
        <f>L246*AD246</f>
        <v/>
      </c>
      <c r="AF246" s="3">
        <f>'_Настройки'!$B$3</f>
        <v/>
      </c>
      <c r="AG246" s="3">
        <f>IFERROR(INDEX('_Комиссия_ВБ'!$B:$B;MATCH(C246;'_Комиссия_ВБ'!$A:$A;0));0,245)</f>
        <v/>
      </c>
      <c r="AH246" s="3">
        <f>AG246+AF246</f>
        <v/>
      </c>
      <c r="AI246" s="2">
        <f>L246*AH246</f>
        <v/>
      </c>
      <c r="AJ246" s="3">
        <f>IFERROR(INDEX('_Комиссия_ВБ'!$C:$C;MATCH(C246;'_Комиссия_ВБ'!$A:$A;0));0,28)</f>
        <v/>
      </c>
      <c r="AK246" s="3">
        <f>AJ246+AF246</f>
        <v/>
      </c>
      <c r="AL246" s="2">
        <f>L246*AK246</f>
        <v/>
      </c>
      <c r="AM246" s="2" t="n"/>
      <c r="AO246" s="3">
        <f>'_Настройки'!$B$5</f>
        <v/>
      </c>
      <c r="AP246" s="2">
        <f>IF(K246&gt;0;K246*AO246;0)</f>
        <v/>
      </c>
      <c r="AQ246" s="2">
        <f>L246-K246-AI246-AE246-IF(AM246&gt;0;AM246;'_Настройки'!$B$9)-AP246-AC246</f>
        <v/>
      </c>
      <c r="AR246" s="3">
        <f>IF(L246&gt;0;AQ246/L246;"")</f>
        <v/>
      </c>
      <c r="AS246" s="3">
        <f>IF(K246&gt;0;AQ246/K246;"")</f>
        <v/>
      </c>
      <c r="AT246" s="2">
        <f>L246-K246-AL246-AE246-IF(AM246&gt;0;AM246;'_Настройки'!$B$9)-AP246-AC246</f>
        <v/>
      </c>
      <c r="AU246" s="3">
        <f>IF(L246&gt;0;AT246/L246;"")</f>
        <v/>
      </c>
      <c r="AV246" s="3">
        <f>IF(K246&gt;0;AT246/K246;"")</f>
        <v/>
      </c>
    </row>
    <row r="247">
      <c r="A247">
        <f>ROW()-1</f>
        <v/>
      </c>
      <c r="K247" s="2">
        <f>IFERROR(INDEX('_Цены_закупки'!$B:$B;MATCH(C247;'_Цены_закупки'!$A:$A;0));"")</f>
        <v/>
      </c>
      <c r="L247" s="2" t="n"/>
      <c r="M247" s="2" t="n"/>
      <c r="N247" s="3">
        <f>IF(AND(M247&gt;0;L247&gt;0);1-L247/M247;"")</f>
        <v/>
      </c>
      <c r="O247" s="2">
        <f>IF(OR(Q247="";K247=0);"";(K247+IF(AM247&gt;0;AM247;'_Настройки'!$B$9)+AP247+AC247+Q247*K247)/(1-AH247-AD247))</f>
        <v/>
      </c>
      <c r="P247" s="2">
        <f>IF(O247="";"";O247-K247-O247*AH247-O247*AD247-IF(AM247&gt;0;AM247;'_Настройки'!$B$9)-AP247-AC247)</f>
        <v/>
      </c>
      <c r="Q247" s="3">
        <f>IF(AND(O247&gt;0;K247&gt;0);P247/K247;"")</f>
        <v/>
      </c>
      <c r="R247" s="2">
        <f>IF(O247="";"";O247-K247-O247*AK247-O247*AD247-IF(AM247&gt;0;AM247;'_Настройки'!$B$9)-AP247-AC247)</f>
        <v/>
      </c>
      <c r="S247" s="3">
        <f>IF(AND(O247&gt;0;K247&gt;0);R247/K247;"")</f>
        <v/>
      </c>
      <c r="T247" s="2" t="n"/>
      <c r="U247" s="3">
        <f>IF(AND(L247&gt;0;T247&gt;0);1-T247/L247;"")</f>
        <v/>
      </c>
      <c r="V247" s="3">
        <f>'_Настройки'!$B$4</f>
        <v/>
      </c>
      <c r="Z247" s="4">
        <f>IF(AND(W247&gt;0;X247&gt;0;Y247&gt;0);W247*X247*Y247/1000;"")</f>
        <v/>
      </c>
      <c r="AB247" s="2">
        <f>('_Настройки'!$B$6+MAX(0;Z247-1)*'_Настройки'!$B$7)*IF(AA247&gt;0;AA247;'_Настройки'!$B$10)</f>
        <v/>
      </c>
      <c r="AC247" s="2">
        <f>AB247*(1+'_Настройки'!$B$8)</f>
        <v/>
      </c>
      <c r="AD247" s="3">
        <f>'_Настройки'!$B$2</f>
        <v/>
      </c>
      <c r="AE247" s="2">
        <f>L247*AD247</f>
        <v/>
      </c>
      <c r="AF247" s="3">
        <f>'_Настройки'!$B$3</f>
        <v/>
      </c>
      <c r="AG247" s="3">
        <f>IFERROR(INDEX('_Комиссия_ВБ'!$B:$B;MATCH(C247;'_Комиссия_ВБ'!$A:$A;0));0,245)</f>
        <v/>
      </c>
      <c r="AH247" s="3">
        <f>AG247+AF247</f>
        <v/>
      </c>
      <c r="AI247" s="2">
        <f>L247*AH247</f>
        <v/>
      </c>
      <c r="AJ247" s="3">
        <f>IFERROR(INDEX('_Комиссия_ВБ'!$C:$C;MATCH(C247;'_Комиссия_ВБ'!$A:$A;0));0,28)</f>
        <v/>
      </c>
      <c r="AK247" s="3">
        <f>AJ247+AF247</f>
        <v/>
      </c>
      <c r="AL247" s="2">
        <f>L247*AK247</f>
        <v/>
      </c>
      <c r="AM247" s="2" t="n"/>
      <c r="AO247" s="3">
        <f>'_Настройки'!$B$5</f>
        <v/>
      </c>
      <c r="AP247" s="2">
        <f>IF(K247&gt;0;K247*AO247;0)</f>
        <v/>
      </c>
      <c r="AQ247" s="2">
        <f>L247-K247-AI247-AE247-IF(AM247&gt;0;AM247;'_Настройки'!$B$9)-AP247-AC247</f>
        <v/>
      </c>
      <c r="AR247" s="3">
        <f>IF(L247&gt;0;AQ247/L247;"")</f>
        <v/>
      </c>
      <c r="AS247" s="3">
        <f>IF(K247&gt;0;AQ247/K247;"")</f>
        <v/>
      </c>
      <c r="AT247" s="2">
        <f>L247-K247-AL247-AE247-IF(AM247&gt;0;AM247;'_Настройки'!$B$9)-AP247-AC247</f>
        <v/>
      </c>
      <c r="AU247" s="3">
        <f>IF(L247&gt;0;AT247/L247;"")</f>
        <v/>
      </c>
      <c r="AV247" s="3">
        <f>IF(K247&gt;0;AT247/K247;"")</f>
        <v/>
      </c>
    </row>
    <row r="248">
      <c r="A248">
        <f>ROW()-1</f>
        <v/>
      </c>
      <c r="K248" s="2">
        <f>IFERROR(INDEX('_Цены_закупки'!$B:$B;MATCH(C248;'_Цены_закупки'!$A:$A;0));"")</f>
        <v/>
      </c>
      <c r="L248" s="2" t="n"/>
      <c r="M248" s="2" t="n"/>
      <c r="N248" s="3">
        <f>IF(AND(M248&gt;0;L248&gt;0);1-L248/M248;"")</f>
        <v/>
      </c>
      <c r="O248" s="2">
        <f>IF(OR(Q248="";K248=0);"";(K248+IF(AM248&gt;0;AM248;'_Настройки'!$B$9)+AP248+AC248+Q248*K248)/(1-AH248-AD248))</f>
        <v/>
      </c>
      <c r="P248" s="2">
        <f>IF(O248="";"";O248-K248-O248*AH248-O248*AD248-IF(AM248&gt;0;AM248;'_Настройки'!$B$9)-AP248-AC248)</f>
        <v/>
      </c>
      <c r="Q248" s="3">
        <f>IF(AND(O248&gt;0;K248&gt;0);P248/K248;"")</f>
        <v/>
      </c>
      <c r="R248" s="2">
        <f>IF(O248="";"";O248-K248-O248*AK248-O248*AD248-IF(AM248&gt;0;AM248;'_Настройки'!$B$9)-AP248-AC248)</f>
        <v/>
      </c>
      <c r="S248" s="3">
        <f>IF(AND(O248&gt;0;K248&gt;0);R248/K248;"")</f>
        <v/>
      </c>
      <c r="T248" s="2" t="n"/>
      <c r="U248" s="3">
        <f>IF(AND(L248&gt;0;T248&gt;0);1-T248/L248;"")</f>
        <v/>
      </c>
      <c r="V248" s="3">
        <f>'_Настройки'!$B$4</f>
        <v/>
      </c>
      <c r="Z248" s="4">
        <f>IF(AND(W248&gt;0;X248&gt;0;Y248&gt;0);W248*X248*Y248/1000;"")</f>
        <v/>
      </c>
      <c r="AB248" s="2">
        <f>('_Настройки'!$B$6+MAX(0;Z248-1)*'_Настройки'!$B$7)*IF(AA248&gt;0;AA248;'_Настройки'!$B$10)</f>
        <v/>
      </c>
      <c r="AC248" s="2">
        <f>AB248*(1+'_Настройки'!$B$8)</f>
        <v/>
      </c>
      <c r="AD248" s="3">
        <f>'_Настройки'!$B$2</f>
        <v/>
      </c>
      <c r="AE248" s="2">
        <f>L248*AD248</f>
        <v/>
      </c>
      <c r="AF248" s="3">
        <f>'_Настройки'!$B$3</f>
        <v/>
      </c>
      <c r="AG248" s="3">
        <f>IFERROR(INDEX('_Комиссия_ВБ'!$B:$B;MATCH(C248;'_Комиссия_ВБ'!$A:$A;0));0,245)</f>
        <v/>
      </c>
      <c r="AH248" s="3">
        <f>AG248+AF248</f>
        <v/>
      </c>
      <c r="AI248" s="2">
        <f>L248*AH248</f>
        <v/>
      </c>
      <c r="AJ248" s="3">
        <f>IFERROR(INDEX('_Комиссия_ВБ'!$C:$C;MATCH(C248;'_Комиссия_ВБ'!$A:$A;0));0,28)</f>
        <v/>
      </c>
      <c r="AK248" s="3">
        <f>AJ248+AF248</f>
        <v/>
      </c>
      <c r="AL248" s="2">
        <f>L248*AK248</f>
        <v/>
      </c>
      <c r="AM248" s="2" t="n"/>
      <c r="AO248" s="3">
        <f>'_Настройки'!$B$5</f>
        <v/>
      </c>
      <c r="AP248" s="2">
        <f>IF(K248&gt;0;K248*AO248;0)</f>
        <v/>
      </c>
      <c r="AQ248" s="2">
        <f>L248-K248-AI248-AE248-IF(AM248&gt;0;AM248;'_Настройки'!$B$9)-AP248-AC248</f>
        <v/>
      </c>
      <c r="AR248" s="3">
        <f>IF(L248&gt;0;AQ248/L248;"")</f>
        <v/>
      </c>
      <c r="AS248" s="3">
        <f>IF(K248&gt;0;AQ248/K248;"")</f>
        <v/>
      </c>
      <c r="AT248" s="2">
        <f>L248-K248-AL248-AE248-IF(AM248&gt;0;AM248;'_Настройки'!$B$9)-AP248-AC248</f>
        <v/>
      </c>
      <c r="AU248" s="3">
        <f>IF(L248&gt;0;AT248/L248;"")</f>
        <v/>
      </c>
      <c r="AV248" s="3">
        <f>IF(K248&gt;0;AT248/K248;"")</f>
        <v/>
      </c>
    </row>
    <row r="249">
      <c r="A249">
        <f>ROW()-1</f>
        <v/>
      </c>
      <c r="K249" s="2">
        <f>IFERROR(INDEX('_Цены_закупки'!$B:$B;MATCH(C249;'_Цены_закупки'!$A:$A;0));"")</f>
        <v/>
      </c>
      <c r="L249" s="2" t="n"/>
      <c r="M249" s="2" t="n"/>
      <c r="N249" s="3">
        <f>IF(AND(M249&gt;0;L249&gt;0);1-L249/M249;"")</f>
        <v/>
      </c>
      <c r="O249" s="2">
        <f>IF(OR(Q249="";K249=0);"";(K249+IF(AM249&gt;0;AM249;'_Настройки'!$B$9)+AP249+AC249+Q249*K249)/(1-AH249-AD249))</f>
        <v/>
      </c>
      <c r="P249" s="2">
        <f>IF(O249="";"";O249-K249-O249*AH249-O249*AD249-IF(AM249&gt;0;AM249;'_Настройки'!$B$9)-AP249-AC249)</f>
        <v/>
      </c>
      <c r="Q249" s="3">
        <f>IF(AND(O249&gt;0;K249&gt;0);P249/K249;"")</f>
        <v/>
      </c>
      <c r="R249" s="2">
        <f>IF(O249="";"";O249-K249-O249*AK249-O249*AD249-IF(AM249&gt;0;AM249;'_Настройки'!$B$9)-AP249-AC249)</f>
        <v/>
      </c>
      <c r="S249" s="3">
        <f>IF(AND(O249&gt;0;K249&gt;0);R249/K249;"")</f>
        <v/>
      </c>
      <c r="T249" s="2" t="n"/>
      <c r="U249" s="3">
        <f>IF(AND(L249&gt;0;T249&gt;0);1-T249/L249;"")</f>
        <v/>
      </c>
      <c r="V249" s="3">
        <f>'_Настройки'!$B$4</f>
        <v/>
      </c>
      <c r="Z249" s="4">
        <f>IF(AND(W249&gt;0;X249&gt;0;Y249&gt;0);W249*X249*Y249/1000;"")</f>
        <v/>
      </c>
      <c r="AB249" s="2">
        <f>('_Настройки'!$B$6+MAX(0;Z249-1)*'_Настройки'!$B$7)*IF(AA249&gt;0;AA249;'_Настройки'!$B$10)</f>
        <v/>
      </c>
      <c r="AC249" s="2">
        <f>AB249*(1+'_Настройки'!$B$8)</f>
        <v/>
      </c>
      <c r="AD249" s="3">
        <f>'_Настройки'!$B$2</f>
        <v/>
      </c>
      <c r="AE249" s="2">
        <f>L249*AD249</f>
        <v/>
      </c>
      <c r="AF249" s="3">
        <f>'_Настройки'!$B$3</f>
        <v/>
      </c>
      <c r="AG249" s="3">
        <f>IFERROR(INDEX('_Комиссия_ВБ'!$B:$B;MATCH(C249;'_Комиссия_ВБ'!$A:$A;0));0,245)</f>
        <v/>
      </c>
      <c r="AH249" s="3">
        <f>AG249+AF249</f>
        <v/>
      </c>
      <c r="AI249" s="2">
        <f>L249*AH249</f>
        <v/>
      </c>
      <c r="AJ249" s="3">
        <f>IFERROR(INDEX('_Комиссия_ВБ'!$C:$C;MATCH(C249;'_Комиссия_ВБ'!$A:$A;0));0,28)</f>
        <v/>
      </c>
      <c r="AK249" s="3">
        <f>AJ249+AF249</f>
        <v/>
      </c>
      <c r="AL249" s="2">
        <f>L249*AK249</f>
        <v/>
      </c>
      <c r="AM249" s="2" t="n"/>
      <c r="AO249" s="3">
        <f>'_Настройки'!$B$5</f>
        <v/>
      </c>
      <c r="AP249" s="2">
        <f>IF(K249&gt;0;K249*AO249;0)</f>
        <v/>
      </c>
      <c r="AQ249" s="2">
        <f>L249-K249-AI249-AE249-IF(AM249&gt;0;AM249;'_Настройки'!$B$9)-AP249-AC249</f>
        <v/>
      </c>
      <c r="AR249" s="3">
        <f>IF(L249&gt;0;AQ249/L249;"")</f>
        <v/>
      </c>
      <c r="AS249" s="3">
        <f>IF(K249&gt;0;AQ249/K249;"")</f>
        <v/>
      </c>
      <c r="AT249" s="2">
        <f>L249-K249-AL249-AE249-IF(AM249&gt;0;AM249;'_Настройки'!$B$9)-AP249-AC249</f>
        <v/>
      </c>
      <c r="AU249" s="3">
        <f>IF(L249&gt;0;AT249/L249;"")</f>
        <v/>
      </c>
      <c r="AV249" s="3">
        <f>IF(K249&gt;0;AT249/K249;"")</f>
        <v/>
      </c>
    </row>
    <row r="250">
      <c r="A250">
        <f>ROW()-1</f>
        <v/>
      </c>
      <c r="K250" s="2">
        <f>IFERROR(INDEX('_Цены_закупки'!$B:$B;MATCH(C250;'_Цены_закупки'!$A:$A;0));"")</f>
        <v/>
      </c>
      <c r="L250" s="2" t="n"/>
      <c r="M250" s="2" t="n"/>
      <c r="N250" s="3">
        <f>IF(AND(M250&gt;0;L250&gt;0);1-L250/M250;"")</f>
        <v/>
      </c>
      <c r="O250" s="2">
        <f>IF(OR(Q250="";K250=0);"";(K250+IF(AM250&gt;0;AM250;'_Настройки'!$B$9)+AP250+AC250+Q250*K250)/(1-AH250-AD250))</f>
        <v/>
      </c>
      <c r="P250" s="2">
        <f>IF(O250="";"";O250-K250-O250*AH250-O250*AD250-IF(AM250&gt;0;AM250;'_Настройки'!$B$9)-AP250-AC250)</f>
        <v/>
      </c>
      <c r="Q250" s="3">
        <f>IF(AND(O250&gt;0;K250&gt;0);P250/K250;"")</f>
        <v/>
      </c>
      <c r="R250" s="2">
        <f>IF(O250="";"";O250-K250-O250*AK250-O250*AD250-IF(AM250&gt;0;AM250;'_Настройки'!$B$9)-AP250-AC250)</f>
        <v/>
      </c>
      <c r="S250" s="3">
        <f>IF(AND(O250&gt;0;K250&gt;0);R250/K250;"")</f>
        <v/>
      </c>
      <c r="T250" s="2" t="n"/>
      <c r="U250" s="3">
        <f>IF(AND(L250&gt;0;T250&gt;0);1-T250/L250;"")</f>
        <v/>
      </c>
      <c r="V250" s="3">
        <f>'_Настройки'!$B$4</f>
        <v/>
      </c>
      <c r="Z250" s="4">
        <f>IF(AND(W250&gt;0;X250&gt;0;Y250&gt;0);W250*X250*Y250/1000;"")</f>
        <v/>
      </c>
      <c r="AB250" s="2">
        <f>('_Настройки'!$B$6+MAX(0;Z250-1)*'_Настройки'!$B$7)*IF(AA250&gt;0;AA250;'_Настройки'!$B$10)</f>
        <v/>
      </c>
      <c r="AC250" s="2">
        <f>AB250*(1+'_Настройки'!$B$8)</f>
        <v/>
      </c>
      <c r="AD250" s="3">
        <f>'_Настройки'!$B$2</f>
        <v/>
      </c>
      <c r="AE250" s="2">
        <f>L250*AD250</f>
        <v/>
      </c>
      <c r="AF250" s="3">
        <f>'_Настройки'!$B$3</f>
        <v/>
      </c>
      <c r="AG250" s="3">
        <f>IFERROR(INDEX('_Комиссия_ВБ'!$B:$B;MATCH(C250;'_Комиссия_ВБ'!$A:$A;0));0,245)</f>
        <v/>
      </c>
      <c r="AH250" s="3">
        <f>AG250+AF250</f>
        <v/>
      </c>
      <c r="AI250" s="2">
        <f>L250*AH250</f>
        <v/>
      </c>
      <c r="AJ250" s="3">
        <f>IFERROR(INDEX('_Комиссия_ВБ'!$C:$C;MATCH(C250;'_Комиссия_ВБ'!$A:$A;0));0,28)</f>
        <v/>
      </c>
      <c r="AK250" s="3">
        <f>AJ250+AF250</f>
        <v/>
      </c>
      <c r="AL250" s="2">
        <f>L250*AK250</f>
        <v/>
      </c>
      <c r="AM250" s="2" t="n"/>
      <c r="AO250" s="3">
        <f>'_Настройки'!$B$5</f>
        <v/>
      </c>
      <c r="AP250" s="2">
        <f>IF(K250&gt;0;K250*AO250;0)</f>
        <v/>
      </c>
      <c r="AQ250" s="2">
        <f>L250-K250-AI250-AE250-IF(AM250&gt;0;AM250;'_Настройки'!$B$9)-AP250-AC250</f>
        <v/>
      </c>
      <c r="AR250" s="3">
        <f>IF(L250&gt;0;AQ250/L250;"")</f>
        <v/>
      </c>
      <c r="AS250" s="3">
        <f>IF(K250&gt;0;AQ250/K250;"")</f>
        <v/>
      </c>
      <c r="AT250" s="2">
        <f>L250-K250-AL250-AE250-IF(AM250&gt;0;AM250;'_Настройки'!$B$9)-AP250-AC250</f>
        <v/>
      </c>
      <c r="AU250" s="3">
        <f>IF(L250&gt;0;AT250/L250;"")</f>
        <v/>
      </c>
      <c r="AV250" s="3">
        <f>IF(K250&gt;0;AT250/K250;"")</f>
        <v/>
      </c>
    </row>
    <row r="251">
      <c r="A251">
        <f>ROW()-1</f>
        <v/>
      </c>
      <c r="K251" s="2">
        <f>IFERROR(INDEX('_Цены_закупки'!$B:$B;MATCH(C251;'_Цены_закупки'!$A:$A;0));"")</f>
        <v/>
      </c>
      <c r="L251" s="2" t="n"/>
      <c r="M251" s="2" t="n"/>
      <c r="N251" s="3">
        <f>IF(AND(M251&gt;0;L251&gt;0);1-L251/M251;"")</f>
        <v/>
      </c>
      <c r="O251" s="2">
        <f>IF(OR(Q251="";K251=0);"";(K251+IF(AM251&gt;0;AM251;'_Настройки'!$B$9)+AP251+AC251+Q251*K251)/(1-AH251-AD251))</f>
        <v/>
      </c>
      <c r="P251" s="2">
        <f>IF(O251="";"";O251-K251-O251*AH251-O251*AD251-IF(AM251&gt;0;AM251;'_Настройки'!$B$9)-AP251-AC251)</f>
        <v/>
      </c>
      <c r="Q251" s="3">
        <f>IF(AND(O251&gt;0;K251&gt;0);P251/K251;"")</f>
        <v/>
      </c>
      <c r="R251" s="2">
        <f>IF(O251="";"";O251-K251-O251*AK251-O251*AD251-IF(AM251&gt;0;AM251;'_Настройки'!$B$9)-AP251-AC251)</f>
        <v/>
      </c>
      <c r="S251" s="3">
        <f>IF(AND(O251&gt;0;K251&gt;0);R251/K251;"")</f>
        <v/>
      </c>
      <c r="T251" s="2" t="n"/>
      <c r="U251" s="3">
        <f>IF(AND(L251&gt;0;T251&gt;0);1-T251/L251;"")</f>
        <v/>
      </c>
      <c r="V251" s="3">
        <f>'_Настройки'!$B$4</f>
        <v/>
      </c>
      <c r="Z251" s="4">
        <f>IF(AND(W251&gt;0;X251&gt;0;Y251&gt;0);W251*X251*Y251/1000;"")</f>
        <v/>
      </c>
      <c r="AB251" s="2">
        <f>('_Настройки'!$B$6+MAX(0;Z251-1)*'_Настройки'!$B$7)*IF(AA251&gt;0;AA251;'_Настройки'!$B$10)</f>
        <v/>
      </c>
      <c r="AC251" s="2">
        <f>AB251*(1+'_Настройки'!$B$8)</f>
        <v/>
      </c>
      <c r="AD251" s="3">
        <f>'_Настройки'!$B$2</f>
        <v/>
      </c>
      <c r="AE251" s="2">
        <f>L251*AD251</f>
        <v/>
      </c>
      <c r="AF251" s="3">
        <f>'_Настройки'!$B$3</f>
        <v/>
      </c>
      <c r="AG251" s="3">
        <f>IFERROR(INDEX('_Комиссия_ВБ'!$B:$B;MATCH(C251;'_Комиссия_ВБ'!$A:$A;0));0,245)</f>
        <v/>
      </c>
      <c r="AH251" s="3">
        <f>AG251+AF251</f>
        <v/>
      </c>
      <c r="AI251" s="2">
        <f>L251*AH251</f>
        <v/>
      </c>
      <c r="AJ251" s="3">
        <f>IFERROR(INDEX('_Комиссия_ВБ'!$C:$C;MATCH(C251;'_Комиссия_ВБ'!$A:$A;0));0,28)</f>
        <v/>
      </c>
      <c r="AK251" s="3">
        <f>AJ251+AF251</f>
        <v/>
      </c>
      <c r="AL251" s="2">
        <f>L251*AK251</f>
        <v/>
      </c>
      <c r="AM251" s="2" t="n"/>
      <c r="AO251" s="3">
        <f>'_Настройки'!$B$5</f>
        <v/>
      </c>
      <c r="AP251" s="2">
        <f>IF(K251&gt;0;K251*AO251;0)</f>
        <v/>
      </c>
      <c r="AQ251" s="2">
        <f>L251-K251-AI251-AE251-IF(AM251&gt;0;AM251;'_Настройки'!$B$9)-AP251-AC251</f>
        <v/>
      </c>
      <c r="AR251" s="3">
        <f>IF(L251&gt;0;AQ251/L251;"")</f>
        <v/>
      </c>
      <c r="AS251" s="3">
        <f>IF(K251&gt;0;AQ251/K251;"")</f>
        <v/>
      </c>
      <c r="AT251" s="2">
        <f>L251-K251-AL251-AE251-IF(AM251&gt;0;AM251;'_Настройки'!$B$9)-AP251-AC251</f>
        <v/>
      </c>
      <c r="AU251" s="3">
        <f>IF(L251&gt;0;AT251/L251;"")</f>
        <v/>
      </c>
      <c r="AV251" s="3">
        <f>IF(K251&gt;0;AT251/K251;"")</f>
        <v/>
      </c>
    </row>
    <row r="252">
      <c r="A252">
        <f>ROW()-1</f>
        <v/>
      </c>
      <c r="K252" s="2">
        <f>IFERROR(INDEX('_Цены_закупки'!$B:$B;MATCH(C252;'_Цены_закупки'!$A:$A;0));"")</f>
        <v/>
      </c>
      <c r="L252" s="2" t="n"/>
      <c r="M252" s="2" t="n"/>
      <c r="N252" s="3">
        <f>IF(AND(M252&gt;0;L252&gt;0);1-L252/M252;"")</f>
        <v/>
      </c>
      <c r="O252" s="2">
        <f>IF(OR(Q252="";K252=0);"";(K252+IF(AM252&gt;0;AM252;'_Настройки'!$B$9)+AP252+AC252+Q252*K252)/(1-AH252-AD252))</f>
        <v/>
      </c>
      <c r="P252" s="2">
        <f>IF(O252="";"";O252-K252-O252*AH252-O252*AD252-IF(AM252&gt;0;AM252;'_Настройки'!$B$9)-AP252-AC252)</f>
        <v/>
      </c>
      <c r="Q252" s="3">
        <f>IF(AND(O252&gt;0;K252&gt;0);P252/K252;"")</f>
        <v/>
      </c>
      <c r="R252" s="2">
        <f>IF(O252="";"";O252-K252-O252*AK252-O252*AD252-IF(AM252&gt;0;AM252;'_Настройки'!$B$9)-AP252-AC252)</f>
        <v/>
      </c>
      <c r="S252" s="3">
        <f>IF(AND(O252&gt;0;K252&gt;0);R252/K252;"")</f>
        <v/>
      </c>
      <c r="T252" s="2" t="n"/>
      <c r="U252" s="3">
        <f>IF(AND(L252&gt;0;T252&gt;0);1-T252/L252;"")</f>
        <v/>
      </c>
      <c r="V252" s="3">
        <f>'_Настройки'!$B$4</f>
        <v/>
      </c>
      <c r="Z252" s="4">
        <f>IF(AND(W252&gt;0;X252&gt;0;Y252&gt;0);W252*X252*Y252/1000;"")</f>
        <v/>
      </c>
      <c r="AB252" s="2">
        <f>('_Настройки'!$B$6+MAX(0;Z252-1)*'_Настройки'!$B$7)*IF(AA252&gt;0;AA252;'_Настройки'!$B$10)</f>
        <v/>
      </c>
      <c r="AC252" s="2">
        <f>AB252*(1+'_Настройки'!$B$8)</f>
        <v/>
      </c>
      <c r="AD252" s="3">
        <f>'_Настройки'!$B$2</f>
        <v/>
      </c>
      <c r="AE252" s="2">
        <f>L252*AD252</f>
        <v/>
      </c>
      <c r="AF252" s="3">
        <f>'_Настройки'!$B$3</f>
        <v/>
      </c>
      <c r="AG252" s="3">
        <f>IFERROR(INDEX('_Комиссия_ВБ'!$B:$B;MATCH(C252;'_Комиссия_ВБ'!$A:$A;0));0,245)</f>
        <v/>
      </c>
      <c r="AH252" s="3">
        <f>AG252+AF252</f>
        <v/>
      </c>
      <c r="AI252" s="2">
        <f>L252*AH252</f>
        <v/>
      </c>
      <c r="AJ252" s="3">
        <f>IFERROR(INDEX('_Комиссия_ВБ'!$C:$C;MATCH(C252;'_Комиссия_ВБ'!$A:$A;0));0,28)</f>
        <v/>
      </c>
      <c r="AK252" s="3">
        <f>AJ252+AF252</f>
        <v/>
      </c>
      <c r="AL252" s="2">
        <f>L252*AK252</f>
        <v/>
      </c>
      <c r="AM252" s="2" t="n"/>
      <c r="AO252" s="3">
        <f>'_Настройки'!$B$5</f>
        <v/>
      </c>
      <c r="AP252" s="2">
        <f>IF(K252&gt;0;K252*AO252;0)</f>
        <v/>
      </c>
      <c r="AQ252" s="2">
        <f>L252-K252-AI252-AE252-IF(AM252&gt;0;AM252;'_Настройки'!$B$9)-AP252-AC252</f>
        <v/>
      </c>
      <c r="AR252" s="3">
        <f>IF(L252&gt;0;AQ252/L252;"")</f>
        <v/>
      </c>
      <c r="AS252" s="3">
        <f>IF(K252&gt;0;AQ252/K252;"")</f>
        <v/>
      </c>
      <c r="AT252" s="2">
        <f>L252-K252-AL252-AE252-IF(AM252&gt;0;AM252;'_Настройки'!$B$9)-AP252-AC252</f>
        <v/>
      </c>
      <c r="AU252" s="3">
        <f>IF(L252&gt;0;AT252/L252;"")</f>
        <v/>
      </c>
      <c r="AV252" s="3">
        <f>IF(K252&gt;0;AT252/K252;"")</f>
        <v/>
      </c>
    </row>
    <row r="253">
      <c r="A253">
        <f>ROW()-1</f>
        <v/>
      </c>
      <c r="K253" s="2">
        <f>IFERROR(INDEX('_Цены_закупки'!$B:$B;MATCH(C253;'_Цены_закупки'!$A:$A;0));"")</f>
        <v/>
      </c>
      <c r="L253" s="2" t="n"/>
      <c r="M253" s="2" t="n"/>
      <c r="N253" s="3">
        <f>IF(AND(M253&gt;0;L253&gt;0);1-L253/M253;"")</f>
        <v/>
      </c>
      <c r="O253" s="2">
        <f>IF(OR(Q253="";K253=0);"";(K253+IF(AM253&gt;0;AM253;'_Настройки'!$B$9)+AP253+AC253+Q253*K253)/(1-AH253-AD253))</f>
        <v/>
      </c>
      <c r="P253" s="2">
        <f>IF(O253="";"";O253-K253-O253*AH253-O253*AD253-IF(AM253&gt;0;AM253;'_Настройки'!$B$9)-AP253-AC253)</f>
        <v/>
      </c>
      <c r="Q253" s="3">
        <f>IF(AND(O253&gt;0;K253&gt;0);P253/K253;"")</f>
        <v/>
      </c>
      <c r="R253" s="2">
        <f>IF(O253="";"";O253-K253-O253*AK253-O253*AD253-IF(AM253&gt;0;AM253;'_Настройки'!$B$9)-AP253-AC253)</f>
        <v/>
      </c>
      <c r="S253" s="3">
        <f>IF(AND(O253&gt;0;K253&gt;0);R253/K253;"")</f>
        <v/>
      </c>
      <c r="T253" s="2" t="n"/>
      <c r="U253" s="3">
        <f>IF(AND(L253&gt;0;T253&gt;0);1-T253/L253;"")</f>
        <v/>
      </c>
      <c r="V253" s="3">
        <f>'_Настройки'!$B$4</f>
        <v/>
      </c>
      <c r="Z253" s="4">
        <f>IF(AND(W253&gt;0;X253&gt;0;Y253&gt;0);W253*X253*Y253/1000;"")</f>
        <v/>
      </c>
      <c r="AB253" s="2">
        <f>('_Настройки'!$B$6+MAX(0;Z253-1)*'_Настройки'!$B$7)*IF(AA253&gt;0;AA253;'_Настройки'!$B$10)</f>
        <v/>
      </c>
      <c r="AC253" s="2">
        <f>AB253*(1+'_Настройки'!$B$8)</f>
        <v/>
      </c>
      <c r="AD253" s="3">
        <f>'_Настройки'!$B$2</f>
        <v/>
      </c>
      <c r="AE253" s="2">
        <f>L253*AD253</f>
        <v/>
      </c>
      <c r="AF253" s="3">
        <f>'_Настройки'!$B$3</f>
        <v/>
      </c>
      <c r="AG253" s="3">
        <f>IFERROR(INDEX('_Комиссия_ВБ'!$B:$B;MATCH(C253;'_Комиссия_ВБ'!$A:$A;0));0,245)</f>
        <v/>
      </c>
      <c r="AH253" s="3">
        <f>AG253+AF253</f>
        <v/>
      </c>
      <c r="AI253" s="2">
        <f>L253*AH253</f>
        <v/>
      </c>
      <c r="AJ253" s="3">
        <f>IFERROR(INDEX('_Комиссия_ВБ'!$C:$C;MATCH(C253;'_Комиссия_ВБ'!$A:$A;0));0,28)</f>
        <v/>
      </c>
      <c r="AK253" s="3">
        <f>AJ253+AF253</f>
        <v/>
      </c>
      <c r="AL253" s="2">
        <f>L253*AK253</f>
        <v/>
      </c>
      <c r="AM253" s="2" t="n"/>
      <c r="AO253" s="3">
        <f>'_Настройки'!$B$5</f>
        <v/>
      </c>
      <c r="AP253" s="2">
        <f>IF(K253&gt;0;K253*AO253;0)</f>
        <v/>
      </c>
      <c r="AQ253" s="2">
        <f>L253-K253-AI253-AE253-IF(AM253&gt;0;AM253;'_Настройки'!$B$9)-AP253-AC253</f>
        <v/>
      </c>
      <c r="AR253" s="3">
        <f>IF(L253&gt;0;AQ253/L253;"")</f>
        <v/>
      </c>
      <c r="AS253" s="3">
        <f>IF(K253&gt;0;AQ253/K253;"")</f>
        <v/>
      </c>
      <c r="AT253" s="2">
        <f>L253-K253-AL253-AE253-IF(AM253&gt;0;AM253;'_Настройки'!$B$9)-AP253-AC253</f>
        <v/>
      </c>
      <c r="AU253" s="3">
        <f>IF(L253&gt;0;AT253/L253;"")</f>
        <v/>
      </c>
      <c r="AV253" s="3">
        <f>IF(K253&gt;0;AT253/K253;"")</f>
        <v/>
      </c>
    </row>
    <row r="254">
      <c r="A254">
        <f>ROW()-1</f>
        <v/>
      </c>
      <c r="K254" s="2">
        <f>IFERROR(INDEX('_Цены_закупки'!$B:$B;MATCH(C254;'_Цены_закупки'!$A:$A;0));"")</f>
        <v/>
      </c>
      <c r="L254" s="2" t="n"/>
      <c r="M254" s="2" t="n"/>
      <c r="N254" s="3">
        <f>IF(AND(M254&gt;0;L254&gt;0);1-L254/M254;"")</f>
        <v/>
      </c>
      <c r="O254" s="2">
        <f>IF(OR(Q254="";K254=0);"";(K254+IF(AM254&gt;0;AM254;'_Настройки'!$B$9)+AP254+AC254+Q254*K254)/(1-AH254-AD254))</f>
        <v/>
      </c>
      <c r="P254" s="2">
        <f>IF(O254="";"";O254-K254-O254*AH254-O254*AD254-IF(AM254&gt;0;AM254;'_Настройки'!$B$9)-AP254-AC254)</f>
        <v/>
      </c>
      <c r="Q254" s="3">
        <f>IF(AND(O254&gt;0;K254&gt;0);P254/K254;"")</f>
        <v/>
      </c>
      <c r="R254" s="2">
        <f>IF(O254="";"";O254-K254-O254*AK254-O254*AD254-IF(AM254&gt;0;AM254;'_Настройки'!$B$9)-AP254-AC254)</f>
        <v/>
      </c>
      <c r="S254" s="3">
        <f>IF(AND(O254&gt;0;K254&gt;0);R254/K254;"")</f>
        <v/>
      </c>
      <c r="T254" s="2" t="n"/>
      <c r="U254" s="3">
        <f>IF(AND(L254&gt;0;T254&gt;0);1-T254/L254;"")</f>
        <v/>
      </c>
      <c r="V254" s="3">
        <f>'_Настройки'!$B$4</f>
        <v/>
      </c>
      <c r="Z254" s="4">
        <f>IF(AND(W254&gt;0;X254&gt;0;Y254&gt;0);W254*X254*Y254/1000;"")</f>
        <v/>
      </c>
      <c r="AB254" s="2">
        <f>('_Настройки'!$B$6+MAX(0;Z254-1)*'_Настройки'!$B$7)*IF(AA254&gt;0;AA254;'_Настройки'!$B$10)</f>
        <v/>
      </c>
      <c r="AC254" s="2">
        <f>AB254*(1+'_Настройки'!$B$8)</f>
        <v/>
      </c>
      <c r="AD254" s="3">
        <f>'_Настройки'!$B$2</f>
        <v/>
      </c>
      <c r="AE254" s="2">
        <f>L254*AD254</f>
        <v/>
      </c>
      <c r="AF254" s="3">
        <f>'_Настройки'!$B$3</f>
        <v/>
      </c>
      <c r="AG254" s="3">
        <f>IFERROR(INDEX('_Комиссия_ВБ'!$B:$B;MATCH(C254;'_Комиссия_ВБ'!$A:$A;0));0,245)</f>
        <v/>
      </c>
      <c r="AH254" s="3">
        <f>AG254+AF254</f>
        <v/>
      </c>
      <c r="AI254" s="2">
        <f>L254*AH254</f>
        <v/>
      </c>
      <c r="AJ254" s="3">
        <f>IFERROR(INDEX('_Комиссия_ВБ'!$C:$C;MATCH(C254;'_Комиссия_ВБ'!$A:$A;0));0,28)</f>
        <v/>
      </c>
      <c r="AK254" s="3">
        <f>AJ254+AF254</f>
        <v/>
      </c>
      <c r="AL254" s="2">
        <f>L254*AK254</f>
        <v/>
      </c>
      <c r="AM254" s="2" t="n"/>
      <c r="AO254" s="3">
        <f>'_Настройки'!$B$5</f>
        <v/>
      </c>
      <c r="AP254" s="2">
        <f>IF(K254&gt;0;K254*AO254;0)</f>
        <v/>
      </c>
      <c r="AQ254" s="2">
        <f>L254-K254-AI254-AE254-IF(AM254&gt;0;AM254;'_Настройки'!$B$9)-AP254-AC254</f>
        <v/>
      </c>
      <c r="AR254" s="3">
        <f>IF(L254&gt;0;AQ254/L254;"")</f>
        <v/>
      </c>
      <c r="AS254" s="3">
        <f>IF(K254&gt;0;AQ254/K254;"")</f>
        <v/>
      </c>
      <c r="AT254" s="2">
        <f>L254-K254-AL254-AE254-IF(AM254&gt;0;AM254;'_Настройки'!$B$9)-AP254-AC254</f>
        <v/>
      </c>
      <c r="AU254" s="3">
        <f>IF(L254&gt;0;AT254/L254;"")</f>
        <v/>
      </c>
      <c r="AV254" s="3">
        <f>IF(K254&gt;0;AT254/K254;"")</f>
        <v/>
      </c>
    </row>
    <row r="255">
      <c r="A255">
        <f>ROW()-1</f>
        <v/>
      </c>
      <c r="K255" s="2">
        <f>IFERROR(INDEX('_Цены_закупки'!$B:$B;MATCH(C255;'_Цены_закупки'!$A:$A;0));"")</f>
        <v/>
      </c>
      <c r="L255" s="2" t="n"/>
      <c r="M255" s="2" t="n"/>
      <c r="N255" s="3">
        <f>IF(AND(M255&gt;0;L255&gt;0);1-L255/M255;"")</f>
        <v/>
      </c>
      <c r="O255" s="2">
        <f>IF(OR(Q255="";K255=0);"";(K255+IF(AM255&gt;0;AM255;'_Настройки'!$B$9)+AP255+AC255+Q255*K255)/(1-AH255-AD255))</f>
        <v/>
      </c>
      <c r="P255" s="2">
        <f>IF(O255="";"";O255-K255-O255*AH255-O255*AD255-IF(AM255&gt;0;AM255;'_Настройки'!$B$9)-AP255-AC255)</f>
        <v/>
      </c>
      <c r="Q255" s="3">
        <f>IF(AND(O255&gt;0;K255&gt;0);P255/K255;"")</f>
        <v/>
      </c>
      <c r="R255" s="2">
        <f>IF(O255="";"";O255-K255-O255*AK255-O255*AD255-IF(AM255&gt;0;AM255;'_Настройки'!$B$9)-AP255-AC255)</f>
        <v/>
      </c>
      <c r="S255" s="3">
        <f>IF(AND(O255&gt;0;K255&gt;0);R255/K255;"")</f>
        <v/>
      </c>
      <c r="T255" s="2" t="n"/>
      <c r="U255" s="3">
        <f>IF(AND(L255&gt;0;T255&gt;0);1-T255/L255;"")</f>
        <v/>
      </c>
      <c r="V255" s="3">
        <f>'_Настройки'!$B$4</f>
        <v/>
      </c>
      <c r="Z255" s="4">
        <f>IF(AND(W255&gt;0;X255&gt;0;Y255&gt;0);W255*X255*Y255/1000;"")</f>
        <v/>
      </c>
      <c r="AB255" s="2">
        <f>('_Настройки'!$B$6+MAX(0;Z255-1)*'_Настройки'!$B$7)*IF(AA255&gt;0;AA255;'_Настройки'!$B$10)</f>
        <v/>
      </c>
      <c r="AC255" s="2">
        <f>AB255*(1+'_Настройки'!$B$8)</f>
        <v/>
      </c>
      <c r="AD255" s="3">
        <f>'_Настройки'!$B$2</f>
        <v/>
      </c>
      <c r="AE255" s="2">
        <f>L255*AD255</f>
        <v/>
      </c>
      <c r="AF255" s="3">
        <f>'_Настройки'!$B$3</f>
        <v/>
      </c>
      <c r="AG255" s="3">
        <f>IFERROR(INDEX('_Комиссия_ВБ'!$B:$B;MATCH(C255;'_Комиссия_ВБ'!$A:$A;0));0,245)</f>
        <v/>
      </c>
      <c r="AH255" s="3">
        <f>AG255+AF255</f>
        <v/>
      </c>
      <c r="AI255" s="2">
        <f>L255*AH255</f>
        <v/>
      </c>
      <c r="AJ255" s="3">
        <f>IFERROR(INDEX('_Комиссия_ВБ'!$C:$C;MATCH(C255;'_Комиссия_ВБ'!$A:$A;0));0,28)</f>
        <v/>
      </c>
      <c r="AK255" s="3">
        <f>AJ255+AF255</f>
        <v/>
      </c>
      <c r="AL255" s="2">
        <f>L255*AK255</f>
        <v/>
      </c>
      <c r="AM255" s="2" t="n"/>
      <c r="AO255" s="3">
        <f>'_Настройки'!$B$5</f>
        <v/>
      </c>
      <c r="AP255" s="2">
        <f>IF(K255&gt;0;K255*AO255;0)</f>
        <v/>
      </c>
      <c r="AQ255" s="2">
        <f>L255-K255-AI255-AE255-IF(AM255&gt;0;AM255;'_Настройки'!$B$9)-AP255-AC255</f>
        <v/>
      </c>
      <c r="AR255" s="3">
        <f>IF(L255&gt;0;AQ255/L255;"")</f>
        <v/>
      </c>
      <c r="AS255" s="3">
        <f>IF(K255&gt;0;AQ255/K255;"")</f>
        <v/>
      </c>
      <c r="AT255" s="2">
        <f>L255-K255-AL255-AE255-IF(AM255&gt;0;AM255;'_Настройки'!$B$9)-AP255-AC255</f>
        <v/>
      </c>
      <c r="AU255" s="3">
        <f>IF(L255&gt;0;AT255/L255;"")</f>
        <v/>
      </c>
      <c r="AV255" s="3">
        <f>IF(K255&gt;0;AT255/K255;"")</f>
        <v/>
      </c>
    </row>
    <row r="256">
      <c r="A256">
        <f>ROW()-1</f>
        <v/>
      </c>
      <c r="K256" s="2">
        <f>IFERROR(INDEX('_Цены_закупки'!$B:$B;MATCH(C256;'_Цены_закупки'!$A:$A;0));"")</f>
        <v/>
      </c>
      <c r="L256" s="2" t="n"/>
      <c r="M256" s="2" t="n"/>
      <c r="N256" s="3">
        <f>IF(AND(M256&gt;0;L256&gt;0);1-L256/M256;"")</f>
        <v/>
      </c>
      <c r="O256" s="2">
        <f>IF(OR(Q256="";K256=0);"";(K256+IF(AM256&gt;0;AM256;'_Настройки'!$B$9)+AP256+AC256+Q256*K256)/(1-AH256-AD256))</f>
        <v/>
      </c>
      <c r="P256" s="2">
        <f>IF(O256="";"";O256-K256-O256*AH256-O256*AD256-IF(AM256&gt;0;AM256;'_Настройки'!$B$9)-AP256-AC256)</f>
        <v/>
      </c>
      <c r="Q256" s="3">
        <f>IF(AND(O256&gt;0;K256&gt;0);P256/K256;"")</f>
        <v/>
      </c>
      <c r="R256" s="2">
        <f>IF(O256="";"";O256-K256-O256*AK256-O256*AD256-IF(AM256&gt;0;AM256;'_Настройки'!$B$9)-AP256-AC256)</f>
        <v/>
      </c>
      <c r="S256" s="3">
        <f>IF(AND(O256&gt;0;K256&gt;0);R256/K256;"")</f>
        <v/>
      </c>
      <c r="T256" s="2" t="n"/>
      <c r="U256" s="3">
        <f>IF(AND(L256&gt;0;T256&gt;0);1-T256/L256;"")</f>
        <v/>
      </c>
      <c r="V256" s="3">
        <f>'_Настройки'!$B$4</f>
        <v/>
      </c>
      <c r="Z256" s="4">
        <f>IF(AND(W256&gt;0;X256&gt;0;Y256&gt;0);W256*X256*Y256/1000;"")</f>
        <v/>
      </c>
      <c r="AB256" s="2">
        <f>('_Настройки'!$B$6+MAX(0;Z256-1)*'_Настройки'!$B$7)*IF(AA256&gt;0;AA256;'_Настройки'!$B$10)</f>
        <v/>
      </c>
      <c r="AC256" s="2">
        <f>AB256*(1+'_Настройки'!$B$8)</f>
        <v/>
      </c>
      <c r="AD256" s="3">
        <f>'_Настройки'!$B$2</f>
        <v/>
      </c>
      <c r="AE256" s="2">
        <f>L256*AD256</f>
        <v/>
      </c>
      <c r="AF256" s="3">
        <f>'_Настройки'!$B$3</f>
        <v/>
      </c>
      <c r="AG256" s="3">
        <f>IFERROR(INDEX('_Комиссия_ВБ'!$B:$B;MATCH(C256;'_Комиссия_ВБ'!$A:$A;0));0,245)</f>
        <v/>
      </c>
      <c r="AH256" s="3">
        <f>AG256+AF256</f>
        <v/>
      </c>
      <c r="AI256" s="2">
        <f>L256*AH256</f>
        <v/>
      </c>
      <c r="AJ256" s="3">
        <f>IFERROR(INDEX('_Комиссия_ВБ'!$C:$C;MATCH(C256;'_Комиссия_ВБ'!$A:$A;0));0,28)</f>
        <v/>
      </c>
      <c r="AK256" s="3">
        <f>AJ256+AF256</f>
        <v/>
      </c>
      <c r="AL256" s="2">
        <f>L256*AK256</f>
        <v/>
      </c>
      <c r="AM256" s="2" t="n"/>
      <c r="AO256" s="3">
        <f>'_Настройки'!$B$5</f>
        <v/>
      </c>
      <c r="AP256" s="2">
        <f>IF(K256&gt;0;K256*AO256;0)</f>
        <v/>
      </c>
      <c r="AQ256" s="2">
        <f>L256-K256-AI256-AE256-IF(AM256&gt;0;AM256;'_Настройки'!$B$9)-AP256-AC256</f>
        <v/>
      </c>
      <c r="AR256" s="3">
        <f>IF(L256&gt;0;AQ256/L256;"")</f>
        <v/>
      </c>
      <c r="AS256" s="3">
        <f>IF(K256&gt;0;AQ256/K256;"")</f>
        <v/>
      </c>
      <c r="AT256" s="2">
        <f>L256-K256-AL256-AE256-IF(AM256&gt;0;AM256;'_Настройки'!$B$9)-AP256-AC256</f>
        <v/>
      </c>
      <c r="AU256" s="3">
        <f>IF(L256&gt;0;AT256/L256;"")</f>
        <v/>
      </c>
      <c r="AV256" s="3">
        <f>IF(K256&gt;0;AT256/K256;"")</f>
        <v/>
      </c>
    </row>
    <row r="257">
      <c r="A257">
        <f>ROW()-1</f>
        <v/>
      </c>
      <c r="K257" s="2">
        <f>IFERROR(INDEX('_Цены_закупки'!$B:$B;MATCH(C257;'_Цены_закупки'!$A:$A;0));"")</f>
        <v/>
      </c>
      <c r="L257" s="2" t="n"/>
      <c r="M257" s="2" t="n"/>
      <c r="N257" s="3">
        <f>IF(AND(M257&gt;0;L257&gt;0);1-L257/M257;"")</f>
        <v/>
      </c>
      <c r="O257" s="2">
        <f>IF(OR(Q257="";K257=0);"";(K257+IF(AM257&gt;0;AM257;'_Настройки'!$B$9)+AP257+AC257+Q257*K257)/(1-AH257-AD257))</f>
        <v/>
      </c>
      <c r="P257" s="2">
        <f>IF(O257="";"";O257-K257-O257*AH257-O257*AD257-IF(AM257&gt;0;AM257;'_Настройки'!$B$9)-AP257-AC257)</f>
        <v/>
      </c>
      <c r="Q257" s="3">
        <f>IF(AND(O257&gt;0;K257&gt;0);P257/K257;"")</f>
        <v/>
      </c>
      <c r="R257" s="2">
        <f>IF(O257="";"";O257-K257-O257*AK257-O257*AD257-IF(AM257&gt;0;AM257;'_Настройки'!$B$9)-AP257-AC257)</f>
        <v/>
      </c>
      <c r="S257" s="3">
        <f>IF(AND(O257&gt;0;K257&gt;0);R257/K257;"")</f>
        <v/>
      </c>
      <c r="T257" s="2" t="n"/>
      <c r="U257" s="3">
        <f>IF(AND(L257&gt;0;T257&gt;0);1-T257/L257;"")</f>
        <v/>
      </c>
      <c r="V257" s="3">
        <f>'_Настройки'!$B$4</f>
        <v/>
      </c>
      <c r="Z257" s="4">
        <f>IF(AND(W257&gt;0;X257&gt;0;Y257&gt;0);W257*X257*Y257/1000;"")</f>
        <v/>
      </c>
      <c r="AB257" s="2">
        <f>('_Настройки'!$B$6+MAX(0;Z257-1)*'_Настройки'!$B$7)*IF(AA257&gt;0;AA257;'_Настройки'!$B$10)</f>
        <v/>
      </c>
      <c r="AC257" s="2">
        <f>AB257*(1+'_Настройки'!$B$8)</f>
        <v/>
      </c>
      <c r="AD257" s="3">
        <f>'_Настройки'!$B$2</f>
        <v/>
      </c>
      <c r="AE257" s="2">
        <f>L257*AD257</f>
        <v/>
      </c>
      <c r="AF257" s="3">
        <f>'_Настройки'!$B$3</f>
        <v/>
      </c>
      <c r="AG257" s="3">
        <f>IFERROR(INDEX('_Комиссия_ВБ'!$B:$B;MATCH(C257;'_Комиссия_ВБ'!$A:$A;0));0,245)</f>
        <v/>
      </c>
      <c r="AH257" s="3">
        <f>AG257+AF257</f>
        <v/>
      </c>
      <c r="AI257" s="2">
        <f>L257*AH257</f>
        <v/>
      </c>
      <c r="AJ257" s="3">
        <f>IFERROR(INDEX('_Комиссия_ВБ'!$C:$C;MATCH(C257;'_Комиссия_ВБ'!$A:$A;0));0,28)</f>
        <v/>
      </c>
      <c r="AK257" s="3">
        <f>AJ257+AF257</f>
        <v/>
      </c>
      <c r="AL257" s="2">
        <f>L257*AK257</f>
        <v/>
      </c>
      <c r="AM257" s="2" t="n"/>
      <c r="AO257" s="3">
        <f>'_Настройки'!$B$5</f>
        <v/>
      </c>
      <c r="AP257" s="2">
        <f>IF(K257&gt;0;K257*AO257;0)</f>
        <v/>
      </c>
      <c r="AQ257" s="2">
        <f>L257-K257-AI257-AE257-IF(AM257&gt;0;AM257;'_Настройки'!$B$9)-AP257-AC257</f>
        <v/>
      </c>
      <c r="AR257" s="3">
        <f>IF(L257&gt;0;AQ257/L257;"")</f>
        <v/>
      </c>
      <c r="AS257" s="3">
        <f>IF(K257&gt;0;AQ257/K257;"")</f>
        <v/>
      </c>
      <c r="AT257" s="2">
        <f>L257-K257-AL257-AE257-IF(AM257&gt;0;AM257;'_Настройки'!$B$9)-AP257-AC257</f>
        <v/>
      </c>
      <c r="AU257" s="3">
        <f>IF(L257&gt;0;AT257/L257;"")</f>
        <v/>
      </c>
      <c r="AV257" s="3">
        <f>IF(K257&gt;0;AT257/K257;"")</f>
        <v/>
      </c>
    </row>
    <row r="258">
      <c r="A258">
        <f>ROW()-1</f>
        <v/>
      </c>
      <c r="K258" s="2">
        <f>IFERROR(INDEX('_Цены_закупки'!$B:$B;MATCH(C258;'_Цены_закупки'!$A:$A;0));"")</f>
        <v/>
      </c>
      <c r="L258" s="2" t="n"/>
      <c r="M258" s="2" t="n"/>
      <c r="N258" s="3">
        <f>IF(AND(M258&gt;0;L258&gt;0);1-L258/M258;"")</f>
        <v/>
      </c>
      <c r="O258" s="2">
        <f>IF(OR(Q258="";K258=0);"";(K258+IF(AM258&gt;0;AM258;'_Настройки'!$B$9)+AP258+AC258+Q258*K258)/(1-AH258-AD258))</f>
        <v/>
      </c>
      <c r="P258" s="2">
        <f>IF(O258="";"";O258-K258-O258*AH258-O258*AD258-IF(AM258&gt;0;AM258;'_Настройки'!$B$9)-AP258-AC258)</f>
        <v/>
      </c>
      <c r="Q258" s="3">
        <f>IF(AND(O258&gt;0;K258&gt;0);P258/K258;"")</f>
        <v/>
      </c>
      <c r="R258" s="2">
        <f>IF(O258="";"";O258-K258-O258*AK258-O258*AD258-IF(AM258&gt;0;AM258;'_Настройки'!$B$9)-AP258-AC258)</f>
        <v/>
      </c>
      <c r="S258" s="3">
        <f>IF(AND(O258&gt;0;K258&gt;0);R258/K258;"")</f>
        <v/>
      </c>
      <c r="T258" s="2" t="n"/>
      <c r="U258" s="3">
        <f>IF(AND(L258&gt;0;T258&gt;0);1-T258/L258;"")</f>
        <v/>
      </c>
      <c r="V258" s="3">
        <f>'_Настройки'!$B$4</f>
        <v/>
      </c>
      <c r="Z258" s="4">
        <f>IF(AND(W258&gt;0;X258&gt;0;Y258&gt;0);W258*X258*Y258/1000;"")</f>
        <v/>
      </c>
      <c r="AB258" s="2">
        <f>('_Настройки'!$B$6+MAX(0;Z258-1)*'_Настройки'!$B$7)*IF(AA258&gt;0;AA258;'_Настройки'!$B$10)</f>
        <v/>
      </c>
      <c r="AC258" s="2">
        <f>AB258*(1+'_Настройки'!$B$8)</f>
        <v/>
      </c>
      <c r="AD258" s="3">
        <f>'_Настройки'!$B$2</f>
        <v/>
      </c>
      <c r="AE258" s="2">
        <f>L258*AD258</f>
        <v/>
      </c>
      <c r="AF258" s="3">
        <f>'_Настройки'!$B$3</f>
        <v/>
      </c>
      <c r="AG258" s="3">
        <f>IFERROR(INDEX('_Комиссия_ВБ'!$B:$B;MATCH(C258;'_Комиссия_ВБ'!$A:$A;0));0,245)</f>
        <v/>
      </c>
      <c r="AH258" s="3">
        <f>AG258+AF258</f>
        <v/>
      </c>
      <c r="AI258" s="2">
        <f>L258*AH258</f>
        <v/>
      </c>
      <c r="AJ258" s="3">
        <f>IFERROR(INDEX('_Комиссия_ВБ'!$C:$C;MATCH(C258;'_Комиссия_ВБ'!$A:$A;0));0,28)</f>
        <v/>
      </c>
      <c r="AK258" s="3">
        <f>AJ258+AF258</f>
        <v/>
      </c>
      <c r="AL258" s="2">
        <f>L258*AK258</f>
        <v/>
      </c>
      <c r="AM258" s="2" t="n"/>
      <c r="AO258" s="3">
        <f>'_Настройки'!$B$5</f>
        <v/>
      </c>
      <c r="AP258" s="2">
        <f>IF(K258&gt;0;K258*AO258;0)</f>
        <v/>
      </c>
      <c r="AQ258" s="2">
        <f>L258-K258-AI258-AE258-IF(AM258&gt;0;AM258;'_Настройки'!$B$9)-AP258-AC258</f>
        <v/>
      </c>
      <c r="AR258" s="3">
        <f>IF(L258&gt;0;AQ258/L258;"")</f>
        <v/>
      </c>
      <c r="AS258" s="3">
        <f>IF(K258&gt;0;AQ258/K258;"")</f>
        <v/>
      </c>
      <c r="AT258" s="2">
        <f>L258-K258-AL258-AE258-IF(AM258&gt;0;AM258;'_Настройки'!$B$9)-AP258-AC258</f>
        <v/>
      </c>
      <c r="AU258" s="3">
        <f>IF(L258&gt;0;AT258/L258;"")</f>
        <v/>
      </c>
      <c r="AV258" s="3">
        <f>IF(K258&gt;0;AT258/K258;"")</f>
        <v/>
      </c>
    </row>
    <row r="259">
      <c r="A259">
        <f>ROW()-1</f>
        <v/>
      </c>
      <c r="K259" s="2">
        <f>IFERROR(INDEX('_Цены_закупки'!$B:$B;MATCH(C259;'_Цены_закупки'!$A:$A;0));"")</f>
        <v/>
      </c>
      <c r="L259" s="2" t="n"/>
      <c r="M259" s="2" t="n"/>
      <c r="N259" s="3">
        <f>IF(AND(M259&gt;0;L259&gt;0);1-L259/M259;"")</f>
        <v/>
      </c>
      <c r="O259" s="2">
        <f>IF(OR(Q259="";K259=0);"";(K259+IF(AM259&gt;0;AM259;'_Настройки'!$B$9)+AP259+AC259+Q259*K259)/(1-AH259-AD259))</f>
        <v/>
      </c>
      <c r="P259" s="2">
        <f>IF(O259="";"";O259-K259-O259*AH259-O259*AD259-IF(AM259&gt;0;AM259;'_Настройки'!$B$9)-AP259-AC259)</f>
        <v/>
      </c>
      <c r="Q259" s="3">
        <f>IF(AND(O259&gt;0;K259&gt;0);P259/K259;"")</f>
        <v/>
      </c>
      <c r="R259" s="2">
        <f>IF(O259="";"";O259-K259-O259*AK259-O259*AD259-IF(AM259&gt;0;AM259;'_Настройки'!$B$9)-AP259-AC259)</f>
        <v/>
      </c>
      <c r="S259" s="3">
        <f>IF(AND(O259&gt;0;K259&gt;0);R259/K259;"")</f>
        <v/>
      </c>
      <c r="T259" s="2" t="n"/>
      <c r="U259" s="3">
        <f>IF(AND(L259&gt;0;T259&gt;0);1-T259/L259;"")</f>
        <v/>
      </c>
      <c r="V259" s="3">
        <f>'_Настройки'!$B$4</f>
        <v/>
      </c>
      <c r="Z259" s="4">
        <f>IF(AND(W259&gt;0;X259&gt;0;Y259&gt;0);W259*X259*Y259/1000;"")</f>
        <v/>
      </c>
      <c r="AB259" s="2">
        <f>('_Настройки'!$B$6+MAX(0;Z259-1)*'_Настройки'!$B$7)*IF(AA259&gt;0;AA259;'_Настройки'!$B$10)</f>
        <v/>
      </c>
      <c r="AC259" s="2">
        <f>AB259*(1+'_Настройки'!$B$8)</f>
        <v/>
      </c>
      <c r="AD259" s="3">
        <f>'_Настройки'!$B$2</f>
        <v/>
      </c>
      <c r="AE259" s="2">
        <f>L259*AD259</f>
        <v/>
      </c>
      <c r="AF259" s="3">
        <f>'_Настройки'!$B$3</f>
        <v/>
      </c>
      <c r="AG259" s="3">
        <f>IFERROR(INDEX('_Комиссия_ВБ'!$B:$B;MATCH(C259;'_Комиссия_ВБ'!$A:$A;0));0,245)</f>
        <v/>
      </c>
      <c r="AH259" s="3">
        <f>AG259+AF259</f>
        <v/>
      </c>
      <c r="AI259" s="2">
        <f>L259*AH259</f>
        <v/>
      </c>
      <c r="AJ259" s="3">
        <f>IFERROR(INDEX('_Комиссия_ВБ'!$C:$C;MATCH(C259;'_Комиссия_ВБ'!$A:$A;0));0,28)</f>
        <v/>
      </c>
      <c r="AK259" s="3">
        <f>AJ259+AF259</f>
        <v/>
      </c>
      <c r="AL259" s="2">
        <f>L259*AK259</f>
        <v/>
      </c>
      <c r="AM259" s="2" t="n"/>
      <c r="AO259" s="3">
        <f>'_Настройки'!$B$5</f>
        <v/>
      </c>
      <c r="AP259" s="2">
        <f>IF(K259&gt;0;K259*AO259;0)</f>
        <v/>
      </c>
      <c r="AQ259" s="2">
        <f>L259-K259-AI259-AE259-IF(AM259&gt;0;AM259;'_Настройки'!$B$9)-AP259-AC259</f>
        <v/>
      </c>
      <c r="AR259" s="3">
        <f>IF(L259&gt;0;AQ259/L259;"")</f>
        <v/>
      </c>
      <c r="AS259" s="3">
        <f>IF(K259&gt;0;AQ259/K259;"")</f>
        <v/>
      </c>
      <c r="AT259" s="2">
        <f>L259-K259-AL259-AE259-IF(AM259&gt;0;AM259;'_Настройки'!$B$9)-AP259-AC259</f>
        <v/>
      </c>
      <c r="AU259" s="3">
        <f>IF(L259&gt;0;AT259/L259;"")</f>
        <v/>
      </c>
      <c r="AV259" s="3">
        <f>IF(K259&gt;0;AT259/K259;"")</f>
        <v/>
      </c>
    </row>
    <row r="260">
      <c r="A260">
        <f>ROW()-1</f>
        <v/>
      </c>
      <c r="K260" s="2">
        <f>IFERROR(INDEX('_Цены_закупки'!$B:$B;MATCH(C260;'_Цены_закупки'!$A:$A;0));"")</f>
        <v/>
      </c>
      <c r="L260" s="2" t="n"/>
      <c r="M260" s="2" t="n"/>
      <c r="N260" s="3">
        <f>IF(AND(M260&gt;0;L260&gt;0);1-L260/M260;"")</f>
        <v/>
      </c>
      <c r="O260" s="2">
        <f>IF(OR(Q260="";K260=0);"";(K260+IF(AM260&gt;0;AM260;'_Настройки'!$B$9)+AP260+AC260+Q260*K260)/(1-AH260-AD260))</f>
        <v/>
      </c>
      <c r="P260" s="2">
        <f>IF(O260="";"";O260-K260-O260*AH260-O260*AD260-IF(AM260&gt;0;AM260;'_Настройки'!$B$9)-AP260-AC260)</f>
        <v/>
      </c>
      <c r="Q260" s="3">
        <f>IF(AND(O260&gt;0;K260&gt;0);P260/K260;"")</f>
        <v/>
      </c>
      <c r="R260" s="2">
        <f>IF(O260="";"";O260-K260-O260*AK260-O260*AD260-IF(AM260&gt;0;AM260;'_Настройки'!$B$9)-AP260-AC260)</f>
        <v/>
      </c>
      <c r="S260" s="3">
        <f>IF(AND(O260&gt;0;K260&gt;0);R260/K260;"")</f>
        <v/>
      </c>
      <c r="T260" s="2" t="n"/>
      <c r="U260" s="3">
        <f>IF(AND(L260&gt;0;T260&gt;0);1-T260/L260;"")</f>
        <v/>
      </c>
      <c r="V260" s="3">
        <f>'_Настройки'!$B$4</f>
        <v/>
      </c>
      <c r="Z260" s="4">
        <f>IF(AND(W260&gt;0;X260&gt;0;Y260&gt;0);W260*X260*Y260/1000;"")</f>
        <v/>
      </c>
      <c r="AB260" s="2">
        <f>('_Настройки'!$B$6+MAX(0;Z260-1)*'_Настройки'!$B$7)*IF(AA260&gt;0;AA260;'_Настройки'!$B$10)</f>
        <v/>
      </c>
      <c r="AC260" s="2">
        <f>AB260*(1+'_Настройки'!$B$8)</f>
        <v/>
      </c>
      <c r="AD260" s="3">
        <f>'_Настройки'!$B$2</f>
        <v/>
      </c>
      <c r="AE260" s="2">
        <f>L260*AD260</f>
        <v/>
      </c>
      <c r="AF260" s="3">
        <f>'_Настройки'!$B$3</f>
        <v/>
      </c>
      <c r="AG260" s="3">
        <f>IFERROR(INDEX('_Комиссия_ВБ'!$B:$B;MATCH(C260;'_Комиссия_ВБ'!$A:$A;0));0,245)</f>
        <v/>
      </c>
      <c r="AH260" s="3">
        <f>AG260+AF260</f>
        <v/>
      </c>
      <c r="AI260" s="2">
        <f>L260*AH260</f>
        <v/>
      </c>
      <c r="AJ260" s="3">
        <f>IFERROR(INDEX('_Комиссия_ВБ'!$C:$C;MATCH(C260;'_Комиссия_ВБ'!$A:$A;0));0,28)</f>
        <v/>
      </c>
      <c r="AK260" s="3">
        <f>AJ260+AF260</f>
        <v/>
      </c>
      <c r="AL260" s="2">
        <f>L260*AK260</f>
        <v/>
      </c>
      <c r="AM260" s="2" t="n"/>
      <c r="AO260" s="3">
        <f>'_Настройки'!$B$5</f>
        <v/>
      </c>
      <c r="AP260" s="2">
        <f>IF(K260&gt;0;K260*AO260;0)</f>
        <v/>
      </c>
      <c r="AQ260" s="2">
        <f>L260-K260-AI260-AE260-IF(AM260&gt;0;AM260;'_Настройки'!$B$9)-AP260-AC260</f>
        <v/>
      </c>
      <c r="AR260" s="3">
        <f>IF(L260&gt;0;AQ260/L260;"")</f>
        <v/>
      </c>
      <c r="AS260" s="3">
        <f>IF(K260&gt;0;AQ260/K260;"")</f>
        <v/>
      </c>
      <c r="AT260" s="2">
        <f>L260-K260-AL260-AE260-IF(AM260&gt;0;AM260;'_Настройки'!$B$9)-AP260-AC260</f>
        <v/>
      </c>
      <c r="AU260" s="3">
        <f>IF(L260&gt;0;AT260/L260;"")</f>
        <v/>
      </c>
      <c r="AV260" s="3">
        <f>IF(K260&gt;0;AT260/K260;"")</f>
        <v/>
      </c>
    </row>
    <row r="261">
      <c r="A261">
        <f>ROW()-1</f>
        <v/>
      </c>
      <c r="K261" s="2">
        <f>IFERROR(INDEX('_Цены_закупки'!$B:$B;MATCH(C261;'_Цены_закупки'!$A:$A;0));"")</f>
        <v/>
      </c>
      <c r="L261" s="2" t="n"/>
      <c r="M261" s="2" t="n"/>
      <c r="N261" s="3">
        <f>IF(AND(M261&gt;0;L261&gt;0);1-L261/M261;"")</f>
        <v/>
      </c>
      <c r="O261" s="2">
        <f>IF(OR(Q261="";K261=0);"";(K261+IF(AM261&gt;0;AM261;'_Настройки'!$B$9)+AP261+AC261+Q261*K261)/(1-AH261-AD261))</f>
        <v/>
      </c>
      <c r="P261" s="2">
        <f>IF(O261="";"";O261-K261-O261*AH261-O261*AD261-IF(AM261&gt;0;AM261;'_Настройки'!$B$9)-AP261-AC261)</f>
        <v/>
      </c>
      <c r="Q261" s="3">
        <f>IF(AND(O261&gt;0;K261&gt;0);P261/K261;"")</f>
        <v/>
      </c>
      <c r="R261" s="2">
        <f>IF(O261="";"";O261-K261-O261*AK261-O261*AD261-IF(AM261&gt;0;AM261;'_Настройки'!$B$9)-AP261-AC261)</f>
        <v/>
      </c>
      <c r="S261" s="3">
        <f>IF(AND(O261&gt;0;K261&gt;0);R261/K261;"")</f>
        <v/>
      </c>
      <c r="T261" s="2" t="n"/>
      <c r="U261" s="3">
        <f>IF(AND(L261&gt;0;T261&gt;0);1-T261/L261;"")</f>
        <v/>
      </c>
      <c r="V261" s="3">
        <f>'_Настройки'!$B$4</f>
        <v/>
      </c>
      <c r="Z261" s="4">
        <f>IF(AND(W261&gt;0;X261&gt;0;Y261&gt;0);W261*X261*Y261/1000;"")</f>
        <v/>
      </c>
      <c r="AB261" s="2">
        <f>('_Настройки'!$B$6+MAX(0;Z261-1)*'_Настройки'!$B$7)*IF(AA261&gt;0;AA261;'_Настройки'!$B$10)</f>
        <v/>
      </c>
      <c r="AC261" s="2">
        <f>AB261*(1+'_Настройки'!$B$8)</f>
        <v/>
      </c>
      <c r="AD261" s="3">
        <f>'_Настройки'!$B$2</f>
        <v/>
      </c>
      <c r="AE261" s="2">
        <f>L261*AD261</f>
        <v/>
      </c>
      <c r="AF261" s="3">
        <f>'_Настройки'!$B$3</f>
        <v/>
      </c>
      <c r="AG261" s="3">
        <f>IFERROR(INDEX('_Комиссия_ВБ'!$B:$B;MATCH(C261;'_Комиссия_ВБ'!$A:$A;0));0,245)</f>
        <v/>
      </c>
      <c r="AH261" s="3">
        <f>AG261+AF261</f>
        <v/>
      </c>
      <c r="AI261" s="2">
        <f>L261*AH261</f>
        <v/>
      </c>
      <c r="AJ261" s="3">
        <f>IFERROR(INDEX('_Комиссия_ВБ'!$C:$C;MATCH(C261;'_Комиссия_ВБ'!$A:$A;0));0,28)</f>
        <v/>
      </c>
      <c r="AK261" s="3">
        <f>AJ261+AF261</f>
        <v/>
      </c>
      <c r="AL261" s="2">
        <f>L261*AK261</f>
        <v/>
      </c>
      <c r="AM261" s="2" t="n"/>
      <c r="AO261" s="3">
        <f>'_Настройки'!$B$5</f>
        <v/>
      </c>
      <c r="AP261" s="2">
        <f>IF(K261&gt;0;K261*AO261;0)</f>
        <v/>
      </c>
      <c r="AQ261" s="2">
        <f>L261-K261-AI261-AE261-IF(AM261&gt;0;AM261;'_Настройки'!$B$9)-AP261-AC261</f>
        <v/>
      </c>
      <c r="AR261" s="3">
        <f>IF(L261&gt;0;AQ261/L261;"")</f>
        <v/>
      </c>
      <c r="AS261" s="3">
        <f>IF(K261&gt;0;AQ261/K261;"")</f>
        <v/>
      </c>
      <c r="AT261" s="2">
        <f>L261-K261-AL261-AE261-IF(AM261&gt;0;AM261;'_Настройки'!$B$9)-AP261-AC261</f>
        <v/>
      </c>
      <c r="AU261" s="3">
        <f>IF(L261&gt;0;AT261/L261;"")</f>
        <v/>
      </c>
      <c r="AV261" s="3">
        <f>IF(K261&gt;0;AT261/K261;"")</f>
        <v/>
      </c>
    </row>
    <row r="262">
      <c r="A262">
        <f>ROW()-1</f>
        <v/>
      </c>
      <c r="K262" s="2">
        <f>IFERROR(INDEX('_Цены_закупки'!$B:$B;MATCH(C262;'_Цены_закупки'!$A:$A;0));"")</f>
        <v/>
      </c>
      <c r="L262" s="2" t="n"/>
      <c r="M262" s="2" t="n"/>
      <c r="N262" s="3">
        <f>IF(AND(M262&gt;0;L262&gt;0);1-L262/M262;"")</f>
        <v/>
      </c>
      <c r="O262" s="2">
        <f>IF(OR(Q262="";K262=0);"";(K262+IF(AM262&gt;0;AM262;'_Настройки'!$B$9)+AP262+AC262+Q262*K262)/(1-AH262-AD262))</f>
        <v/>
      </c>
      <c r="P262" s="2">
        <f>IF(O262="";"";O262-K262-O262*AH262-O262*AD262-IF(AM262&gt;0;AM262;'_Настройки'!$B$9)-AP262-AC262)</f>
        <v/>
      </c>
      <c r="Q262" s="3">
        <f>IF(AND(O262&gt;0;K262&gt;0);P262/K262;"")</f>
        <v/>
      </c>
      <c r="R262" s="2">
        <f>IF(O262="";"";O262-K262-O262*AK262-O262*AD262-IF(AM262&gt;0;AM262;'_Настройки'!$B$9)-AP262-AC262)</f>
        <v/>
      </c>
      <c r="S262" s="3">
        <f>IF(AND(O262&gt;0;K262&gt;0);R262/K262;"")</f>
        <v/>
      </c>
      <c r="T262" s="2" t="n"/>
      <c r="U262" s="3">
        <f>IF(AND(L262&gt;0;T262&gt;0);1-T262/L262;"")</f>
        <v/>
      </c>
      <c r="V262" s="3">
        <f>'_Настройки'!$B$4</f>
        <v/>
      </c>
      <c r="Z262" s="4">
        <f>IF(AND(W262&gt;0;X262&gt;0;Y262&gt;0);W262*X262*Y262/1000;"")</f>
        <v/>
      </c>
      <c r="AB262" s="2">
        <f>('_Настройки'!$B$6+MAX(0;Z262-1)*'_Настройки'!$B$7)*IF(AA262&gt;0;AA262;'_Настройки'!$B$10)</f>
        <v/>
      </c>
      <c r="AC262" s="2">
        <f>AB262*(1+'_Настройки'!$B$8)</f>
        <v/>
      </c>
      <c r="AD262" s="3">
        <f>'_Настройки'!$B$2</f>
        <v/>
      </c>
      <c r="AE262" s="2">
        <f>L262*AD262</f>
        <v/>
      </c>
      <c r="AF262" s="3">
        <f>'_Настройки'!$B$3</f>
        <v/>
      </c>
      <c r="AG262" s="3">
        <f>IFERROR(INDEX('_Комиссия_ВБ'!$B:$B;MATCH(C262;'_Комиссия_ВБ'!$A:$A;0));0,245)</f>
        <v/>
      </c>
      <c r="AH262" s="3">
        <f>AG262+AF262</f>
        <v/>
      </c>
      <c r="AI262" s="2">
        <f>L262*AH262</f>
        <v/>
      </c>
      <c r="AJ262" s="3">
        <f>IFERROR(INDEX('_Комиссия_ВБ'!$C:$C;MATCH(C262;'_Комиссия_ВБ'!$A:$A;0));0,28)</f>
        <v/>
      </c>
      <c r="AK262" s="3">
        <f>AJ262+AF262</f>
        <v/>
      </c>
      <c r="AL262" s="2">
        <f>L262*AK262</f>
        <v/>
      </c>
      <c r="AM262" s="2" t="n"/>
      <c r="AO262" s="3">
        <f>'_Настройки'!$B$5</f>
        <v/>
      </c>
      <c r="AP262" s="2">
        <f>IF(K262&gt;0;K262*AO262;0)</f>
        <v/>
      </c>
      <c r="AQ262" s="2">
        <f>L262-K262-AI262-AE262-IF(AM262&gt;0;AM262;'_Настройки'!$B$9)-AP262-AC262</f>
        <v/>
      </c>
      <c r="AR262" s="3">
        <f>IF(L262&gt;0;AQ262/L262;"")</f>
        <v/>
      </c>
      <c r="AS262" s="3">
        <f>IF(K262&gt;0;AQ262/K262;"")</f>
        <v/>
      </c>
      <c r="AT262" s="2">
        <f>L262-K262-AL262-AE262-IF(AM262&gt;0;AM262;'_Настройки'!$B$9)-AP262-AC262</f>
        <v/>
      </c>
      <c r="AU262" s="3">
        <f>IF(L262&gt;0;AT262/L262;"")</f>
        <v/>
      </c>
      <c r="AV262" s="3">
        <f>IF(K262&gt;0;AT262/K262;"")</f>
        <v/>
      </c>
    </row>
    <row r="263">
      <c r="A263">
        <f>ROW()-1</f>
        <v/>
      </c>
      <c r="K263" s="2">
        <f>IFERROR(INDEX('_Цены_закупки'!$B:$B;MATCH(C263;'_Цены_закупки'!$A:$A;0));"")</f>
        <v/>
      </c>
      <c r="L263" s="2" t="n"/>
      <c r="M263" s="2" t="n"/>
      <c r="N263" s="3">
        <f>IF(AND(M263&gt;0;L263&gt;0);1-L263/M263;"")</f>
        <v/>
      </c>
      <c r="O263" s="2">
        <f>IF(OR(Q263="";K263=0);"";(K263+IF(AM263&gt;0;AM263;'_Настройки'!$B$9)+AP263+AC263+Q263*K263)/(1-AH263-AD263))</f>
        <v/>
      </c>
      <c r="P263" s="2">
        <f>IF(O263="";"";O263-K263-O263*AH263-O263*AD263-IF(AM263&gt;0;AM263;'_Настройки'!$B$9)-AP263-AC263)</f>
        <v/>
      </c>
      <c r="Q263" s="3">
        <f>IF(AND(O263&gt;0;K263&gt;0);P263/K263;"")</f>
        <v/>
      </c>
      <c r="R263" s="2">
        <f>IF(O263="";"";O263-K263-O263*AK263-O263*AD263-IF(AM263&gt;0;AM263;'_Настройки'!$B$9)-AP263-AC263)</f>
        <v/>
      </c>
      <c r="S263" s="3">
        <f>IF(AND(O263&gt;0;K263&gt;0);R263/K263;"")</f>
        <v/>
      </c>
      <c r="T263" s="2" t="n"/>
      <c r="U263" s="3">
        <f>IF(AND(L263&gt;0;T263&gt;0);1-T263/L263;"")</f>
        <v/>
      </c>
      <c r="V263" s="3">
        <f>'_Настройки'!$B$4</f>
        <v/>
      </c>
      <c r="Z263" s="4">
        <f>IF(AND(W263&gt;0;X263&gt;0;Y263&gt;0);W263*X263*Y263/1000;"")</f>
        <v/>
      </c>
      <c r="AB263" s="2">
        <f>('_Настройки'!$B$6+MAX(0;Z263-1)*'_Настройки'!$B$7)*IF(AA263&gt;0;AA263;'_Настройки'!$B$10)</f>
        <v/>
      </c>
      <c r="AC263" s="2">
        <f>AB263*(1+'_Настройки'!$B$8)</f>
        <v/>
      </c>
      <c r="AD263" s="3">
        <f>'_Настройки'!$B$2</f>
        <v/>
      </c>
      <c r="AE263" s="2">
        <f>L263*AD263</f>
        <v/>
      </c>
      <c r="AF263" s="3">
        <f>'_Настройки'!$B$3</f>
        <v/>
      </c>
      <c r="AG263" s="3">
        <f>IFERROR(INDEX('_Комиссия_ВБ'!$B:$B;MATCH(C263;'_Комиссия_ВБ'!$A:$A;0));0,245)</f>
        <v/>
      </c>
      <c r="AH263" s="3">
        <f>AG263+AF263</f>
        <v/>
      </c>
      <c r="AI263" s="2">
        <f>L263*AH263</f>
        <v/>
      </c>
      <c r="AJ263" s="3">
        <f>IFERROR(INDEX('_Комиссия_ВБ'!$C:$C;MATCH(C263;'_Комиссия_ВБ'!$A:$A;0));0,28)</f>
        <v/>
      </c>
      <c r="AK263" s="3">
        <f>AJ263+AF263</f>
        <v/>
      </c>
      <c r="AL263" s="2">
        <f>L263*AK263</f>
        <v/>
      </c>
      <c r="AM263" s="2" t="n"/>
      <c r="AO263" s="3">
        <f>'_Настройки'!$B$5</f>
        <v/>
      </c>
      <c r="AP263" s="2">
        <f>IF(K263&gt;0;K263*AO263;0)</f>
        <v/>
      </c>
      <c r="AQ263" s="2">
        <f>L263-K263-AI263-AE263-IF(AM263&gt;0;AM263;'_Настройки'!$B$9)-AP263-AC263</f>
        <v/>
      </c>
      <c r="AR263" s="3">
        <f>IF(L263&gt;0;AQ263/L263;"")</f>
        <v/>
      </c>
      <c r="AS263" s="3">
        <f>IF(K263&gt;0;AQ263/K263;"")</f>
        <v/>
      </c>
      <c r="AT263" s="2">
        <f>L263-K263-AL263-AE263-IF(AM263&gt;0;AM263;'_Настройки'!$B$9)-AP263-AC263</f>
        <v/>
      </c>
      <c r="AU263" s="3">
        <f>IF(L263&gt;0;AT263/L263;"")</f>
        <v/>
      </c>
      <c r="AV263" s="3">
        <f>IF(K263&gt;0;AT263/K263;"")</f>
        <v/>
      </c>
    </row>
    <row r="264">
      <c r="A264">
        <f>ROW()-1</f>
        <v/>
      </c>
      <c r="K264" s="2">
        <f>IFERROR(INDEX('_Цены_закупки'!$B:$B;MATCH(C264;'_Цены_закупки'!$A:$A;0));"")</f>
        <v/>
      </c>
      <c r="L264" s="2" t="n"/>
      <c r="M264" s="2" t="n"/>
      <c r="N264" s="3">
        <f>IF(AND(M264&gt;0;L264&gt;0);1-L264/M264;"")</f>
        <v/>
      </c>
      <c r="O264" s="2">
        <f>IF(OR(Q264="";K264=0);"";(K264+IF(AM264&gt;0;AM264;'_Настройки'!$B$9)+AP264+AC264+Q264*K264)/(1-AH264-AD264))</f>
        <v/>
      </c>
      <c r="P264" s="2">
        <f>IF(O264="";"";O264-K264-O264*AH264-O264*AD264-IF(AM264&gt;0;AM264;'_Настройки'!$B$9)-AP264-AC264)</f>
        <v/>
      </c>
      <c r="Q264" s="3">
        <f>IF(AND(O264&gt;0;K264&gt;0);P264/K264;"")</f>
        <v/>
      </c>
      <c r="R264" s="2">
        <f>IF(O264="";"";O264-K264-O264*AK264-O264*AD264-IF(AM264&gt;0;AM264;'_Настройки'!$B$9)-AP264-AC264)</f>
        <v/>
      </c>
      <c r="S264" s="3">
        <f>IF(AND(O264&gt;0;K264&gt;0);R264/K264;"")</f>
        <v/>
      </c>
      <c r="T264" s="2" t="n"/>
      <c r="U264" s="3">
        <f>IF(AND(L264&gt;0;T264&gt;0);1-T264/L264;"")</f>
        <v/>
      </c>
      <c r="V264" s="3">
        <f>'_Настройки'!$B$4</f>
        <v/>
      </c>
      <c r="Z264" s="4">
        <f>IF(AND(W264&gt;0;X264&gt;0;Y264&gt;0);W264*X264*Y264/1000;"")</f>
        <v/>
      </c>
      <c r="AB264" s="2">
        <f>('_Настройки'!$B$6+MAX(0;Z264-1)*'_Настройки'!$B$7)*IF(AA264&gt;0;AA264;'_Настройки'!$B$10)</f>
        <v/>
      </c>
      <c r="AC264" s="2">
        <f>AB264*(1+'_Настройки'!$B$8)</f>
        <v/>
      </c>
      <c r="AD264" s="3">
        <f>'_Настройки'!$B$2</f>
        <v/>
      </c>
      <c r="AE264" s="2">
        <f>L264*AD264</f>
        <v/>
      </c>
      <c r="AF264" s="3">
        <f>'_Настройки'!$B$3</f>
        <v/>
      </c>
      <c r="AG264" s="3">
        <f>IFERROR(INDEX('_Комиссия_ВБ'!$B:$B;MATCH(C264;'_Комиссия_ВБ'!$A:$A;0));0,245)</f>
        <v/>
      </c>
      <c r="AH264" s="3">
        <f>AG264+AF264</f>
        <v/>
      </c>
      <c r="AI264" s="2">
        <f>L264*AH264</f>
        <v/>
      </c>
      <c r="AJ264" s="3">
        <f>IFERROR(INDEX('_Комиссия_ВБ'!$C:$C;MATCH(C264;'_Комиссия_ВБ'!$A:$A;0));0,28)</f>
        <v/>
      </c>
      <c r="AK264" s="3">
        <f>AJ264+AF264</f>
        <v/>
      </c>
      <c r="AL264" s="2">
        <f>L264*AK264</f>
        <v/>
      </c>
      <c r="AM264" s="2" t="n"/>
      <c r="AO264" s="3">
        <f>'_Настройки'!$B$5</f>
        <v/>
      </c>
      <c r="AP264" s="2">
        <f>IF(K264&gt;0;K264*AO264;0)</f>
        <v/>
      </c>
      <c r="AQ264" s="2">
        <f>L264-K264-AI264-AE264-IF(AM264&gt;0;AM264;'_Настройки'!$B$9)-AP264-AC264</f>
        <v/>
      </c>
      <c r="AR264" s="3">
        <f>IF(L264&gt;0;AQ264/L264;"")</f>
        <v/>
      </c>
      <c r="AS264" s="3">
        <f>IF(K264&gt;0;AQ264/K264;"")</f>
        <v/>
      </c>
      <c r="AT264" s="2">
        <f>L264-K264-AL264-AE264-IF(AM264&gt;0;AM264;'_Настройки'!$B$9)-AP264-AC264</f>
        <v/>
      </c>
      <c r="AU264" s="3">
        <f>IF(L264&gt;0;AT264/L264;"")</f>
        <v/>
      </c>
      <c r="AV264" s="3">
        <f>IF(K264&gt;0;AT264/K264;"")</f>
        <v/>
      </c>
    </row>
    <row r="265">
      <c r="A265">
        <f>ROW()-1</f>
        <v/>
      </c>
      <c r="K265" s="2">
        <f>IFERROR(INDEX('_Цены_закупки'!$B:$B;MATCH(C265;'_Цены_закупки'!$A:$A;0));"")</f>
        <v/>
      </c>
      <c r="L265" s="2" t="n"/>
      <c r="M265" s="2" t="n"/>
      <c r="N265" s="3">
        <f>IF(AND(M265&gt;0;L265&gt;0);1-L265/M265;"")</f>
        <v/>
      </c>
      <c r="O265" s="2">
        <f>IF(OR(Q265="";K265=0);"";(K265+IF(AM265&gt;0;AM265;'_Настройки'!$B$9)+AP265+AC265+Q265*K265)/(1-AH265-AD265))</f>
        <v/>
      </c>
      <c r="P265" s="2">
        <f>IF(O265="";"";O265-K265-O265*AH265-O265*AD265-IF(AM265&gt;0;AM265;'_Настройки'!$B$9)-AP265-AC265)</f>
        <v/>
      </c>
      <c r="Q265" s="3">
        <f>IF(AND(O265&gt;0;K265&gt;0);P265/K265;"")</f>
        <v/>
      </c>
      <c r="R265" s="2">
        <f>IF(O265="";"";O265-K265-O265*AK265-O265*AD265-IF(AM265&gt;0;AM265;'_Настройки'!$B$9)-AP265-AC265)</f>
        <v/>
      </c>
      <c r="S265" s="3">
        <f>IF(AND(O265&gt;0;K265&gt;0);R265/K265;"")</f>
        <v/>
      </c>
      <c r="T265" s="2" t="n"/>
      <c r="U265" s="3">
        <f>IF(AND(L265&gt;0;T265&gt;0);1-T265/L265;"")</f>
        <v/>
      </c>
      <c r="V265" s="3">
        <f>'_Настройки'!$B$4</f>
        <v/>
      </c>
      <c r="Z265" s="4">
        <f>IF(AND(W265&gt;0;X265&gt;0;Y265&gt;0);W265*X265*Y265/1000;"")</f>
        <v/>
      </c>
      <c r="AB265" s="2">
        <f>('_Настройки'!$B$6+MAX(0;Z265-1)*'_Настройки'!$B$7)*IF(AA265&gt;0;AA265;'_Настройки'!$B$10)</f>
        <v/>
      </c>
      <c r="AC265" s="2">
        <f>AB265*(1+'_Настройки'!$B$8)</f>
        <v/>
      </c>
      <c r="AD265" s="3">
        <f>'_Настройки'!$B$2</f>
        <v/>
      </c>
      <c r="AE265" s="2">
        <f>L265*AD265</f>
        <v/>
      </c>
      <c r="AF265" s="3">
        <f>'_Настройки'!$B$3</f>
        <v/>
      </c>
      <c r="AG265" s="3">
        <f>IFERROR(INDEX('_Комиссия_ВБ'!$B:$B;MATCH(C265;'_Комиссия_ВБ'!$A:$A;0));0,245)</f>
        <v/>
      </c>
      <c r="AH265" s="3">
        <f>AG265+AF265</f>
        <v/>
      </c>
      <c r="AI265" s="2">
        <f>L265*AH265</f>
        <v/>
      </c>
      <c r="AJ265" s="3">
        <f>IFERROR(INDEX('_Комиссия_ВБ'!$C:$C;MATCH(C265;'_Комиссия_ВБ'!$A:$A;0));0,28)</f>
        <v/>
      </c>
      <c r="AK265" s="3">
        <f>AJ265+AF265</f>
        <v/>
      </c>
      <c r="AL265" s="2">
        <f>L265*AK265</f>
        <v/>
      </c>
      <c r="AM265" s="2" t="n"/>
      <c r="AO265" s="3">
        <f>'_Настройки'!$B$5</f>
        <v/>
      </c>
      <c r="AP265" s="2">
        <f>IF(K265&gt;0;K265*AO265;0)</f>
        <v/>
      </c>
      <c r="AQ265" s="2">
        <f>L265-K265-AI265-AE265-IF(AM265&gt;0;AM265;'_Настройки'!$B$9)-AP265-AC265</f>
        <v/>
      </c>
      <c r="AR265" s="3">
        <f>IF(L265&gt;0;AQ265/L265;"")</f>
        <v/>
      </c>
      <c r="AS265" s="3">
        <f>IF(K265&gt;0;AQ265/K265;"")</f>
        <v/>
      </c>
      <c r="AT265" s="2">
        <f>L265-K265-AL265-AE265-IF(AM265&gt;0;AM265;'_Настройки'!$B$9)-AP265-AC265</f>
        <v/>
      </c>
      <c r="AU265" s="3">
        <f>IF(L265&gt;0;AT265/L265;"")</f>
        <v/>
      </c>
      <c r="AV265" s="3">
        <f>IF(K265&gt;0;AT265/K265;"")</f>
        <v/>
      </c>
    </row>
    <row r="266">
      <c r="A266">
        <f>ROW()-1</f>
        <v/>
      </c>
      <c r="K266" s="2">
        <f>IFERROR(INDEX('_Цены_закупки'!$B:$B;MATCH(C266;'_Цены_закупки'!$A:$A;0));"")</f>
        <v/>
      </c>
      <c r="L266" s="2" t="n"/>
      <c r="M266" s="2" t="n"/>
      <c r="N266" s="3">
        <f>IF(AND(M266&gt;0;L266&gt;0);1-L266/M266;"")</f>
        <v/>
      </c>
      <c r="O266" s="2">
        <f>IF(OR(Q266="";K266=0);"";(K266+IF(AM266&gt;0;AM266;'_Настройки'!$B$9)+AP266+AC266+Q266*K266)/(1-AH266-AD266))</f>
        <v/>
      </c>
      <c r="P266" s="2">
        <f>IF(O266="";"";O266-K266-O266*AH266-O266*AD266-IF(AM266&gt;0;AM266;'_Настройки'!$B$9)-AP266-AC266)</f>
        <v/>
      </c>
      <c r="Q266" s="3">
        <f>IF(AND(O266&gt;0;K266&gt;0);P266/K266;"")</f>
        <v/>
      </c>
      <c r="R266" s="2">
        <f>IF(O266="";"";O266-K266-O266*AK266-O266*AD266-IF(AM266&gt;0;AM266;'_Настройки'!$B$9)-AP266-AC266)</f>
        <v/>
      </c>
      <c r="S266" s="3">
        <f>IF(AND(O266&gt;0;K266&gt;0);R266/K266;"")</f>
        <v/>
      </c>
      <c r="T266" s="2" t="n"/>
      <c r="U266" s="3">
        <f>IF(AND(L266&gt;0;T266&gt;0);1-T266/L266;"")</f>
        <v/>
      </c>
      <c r="V266" s="3">
        <f>'_Настройки'!$B$4</f>
        <v/>
      </c>
      <c r="Z266" s="4">
        <f>IF(AND(W266&gt;0;X266&gt;0;Y266&gt;0);W266*X266*Y266/1000;"")</f>
        <v/>
      </c>
      <c r="AB266" s="2">
        <f>('_Настройки'!$B$6+MAX(0;Z266-1)*'_Настройки'!$B$7)*IF(AA266&gt;0;AA266;'_Настройки'!$B$10)</f>
        <v/>
      </c>
      <c r="AC266" s="2">
        <f>AB266*(1+'_Настройки'!$B$8)</f>
        <v/>
      </c>
      <c r="AD266" s="3">
        <f>'_Настройки'!$B$2</f>
        <v/>
      </c>
      <c r="AE266" s="2">
        <f>L266*AD266</f>
        <v/>
      </c>
      <c r="AF266" s="3">
        <f>'_Настройки'!$B$3</f>
        <v/>
      </c>
      <c r="AG266" s="3">
        <f>IFERROR(INDEX('_Комиссия_ВБ'!$B:$B;MATCH(C266;'_Комиссия_ВБ'!$A:$A;0));0,245)</f>
        <v/>
      </c>
      <c r="AH266" s="3">
        <f>AG266+AF266</f>
        <v/>
      </c>
      <c r="AI266" s="2">
        <f>L266*AH266</f>
        <v/>
      </c>
      <c r="AJ266" s="3">
        <f>IFERROR(INDEX('_Комиссия_ВБ'!$C:$C;MATCH(C266;'_Комиссия_ВБ'!$A:$A;0));0,28)</f>
        <v/>
      </c>
      <c r="AK266" s="3">
        <f>AJ266+AF266</f>
        <v/>
      </c>
      <c r="AL266" s="2">
        <f>L266*AK266</f>
        <v/>
      </c>
      <c r="AM266" s="2" t="n"/>
      <c r="AO266" s="3">
        <f>'_Настройки'!$B$5</f>
        <v/>
      </c>
      <c r="AP266" s="2">
        <f>IF(K266&gt;0;K266*AO266;0)</f>
        <v/>
      </c>
      <c r="AQ266" s="2">
        <f>L266-K266-AI266-AE266-IF(AM266&gt;0;AM266;'_Настройки'!$B$9)-AP266-AC266</f>
        <v/>
      </c>
      <c r="AR266" s="3">
        <f>IF(L266&gt;0;AQ266/L266;"")</f>
        <v/>
      </c>
      <c r="AS266" s="3">
        <f>IF(K266&gt;0;AQ266/K266;"")</f>
        <v/>
      </c>
      <c r="AT266" s="2">
        <f>L266-K266-AL266-AE266-IF(AM266&gt;0;AM266;'_Настройки'!$B$9)-AP266-AC266</f>
        <v/>
      </c>
      <c r="AU266" s="3">
        <f>IF(L266&gt;0;AT266/L266;"")</f>
        <v/>
      </c>
      <c r="AV266" s="3">
        <f>IF(K266&gt;0;AT266/K266;"")</f>
        <v/>
      </c>
    </row>
    <row r="267">
      <c r="A267">
        <f>ROW()-1</f>
        <v/>
      </c>
      <c r="K267" s="2">
        <f>IFERROR(INDEX('_Цены_закупки'!$B:$B;MATCH(C267;'_Цены_закупки'!$A:$A;0));"")</f>
        <v/>
      </c>
      <c r="L267" s="2" t="n"/>
      <c r="M267" s="2" t="n"/>
      <c r="N267" s="3">
        <f>IF(AND(M267&gt;0;L267&gt;0);1-L267/M267;"")</f>
        <v/>
      </c>
      <c r="O267" s="2">
        <f>IF(OR(Q267="";K267=0);"";(K267+IF(AM267&gt;0;AM267;'_Настройки'!$B$9)+AP267+AC267+Q267*K267)/(1-AH267-AD267))</f>
        <v/>
      </c>
      <c r="P267" s="2">
        <f>IF(O267="";"";O267-K267-O267*AH267-O267*AD267-IF(AM267&gt;0;AM267;'_Настройки'!$B$9)-AP267-AC267)</f>
        <v/>
      </c>
      <c r="Q267" s="3">
        <f>IF(AND(O267&gt;0;K267&gt;0);P267/K267;"")</f>
        <v/>
      </c>
      <c r="R267" s="2">
        <f>IF(O267="";"";O267-K267-O267*AK267-O267*AD267-IF(AM267&gt;0;AM267;'_Настройки'!$B$9)-AP267-AC267)</f>
        <v/>
      </c>
      <c r="S267" s="3">
        <f>IF(AND(O267&gt;0;K267&gt;0);R267/K267;"")</f>
        <v/>
      </c>
      <c r="T267" s="2" t="n"/>
      <c r="U267" s="3">
        <f>IF(AND(L267&gt;0;T267&gt;0);1-T267/L267;"")</f>
        <v/>
      </c>
      <c r="V267" s="3">
        <f>'_Настройки'!$B$4</f>
        <v/>
      </c>
      <c r="Z267" s="4">
        <f>IF(AND(W267&gt;0;X267&gt;0;Y267&gt;0);W267*X267*Y267/1000;"")</f>
        <v/>
      </c>
      <c r="AB267" s="2">
        <f>('_Настройки'!$B$6+MAX(0;Z267-1)*'_Настройки'!$B$7)*IF(AA267&gt;0;AA267;'_Настройки'!$B$10)</f>
        <v/>
      </c>
      <c r="AC267" s="2">
        <f>AB267*(1+'_Настройки'!$B$8)</f>
        <v/>
      </c>
      <c r="AD267" s="3">
        <f>'_Настройки'!$B$2</f>
        <v/>
      </c>
      <c r="AE267" s="2">
        <f>L267*AD267</f>
        <v/>
      </c>
      <c r="AF267" s="3">
        <f>'_Настройки'!$B$3</f>
        <v/>
      </c>
      <c r="AG267" s="3">
        <f>IFERROR(INDEX('_Комиссия_ВБ'!$B:$B;MATCH(C267;'_Комиссия_ВБ'!$A:$A;0));0,245)</f>
        <v/>
      </c>
      <c r="AH267" s="3">
        <f>AG267+AF267</f>
        <v/>
      </c>
      <c r="AI267" s="2">
        <f>L267*AH267</f>
        <v/>
      </c>
      <c r="AJ267" s="3">
        <f>IFERROR(INDEX('_Комиссия_ВБ'!$C:$C;MATCH(C267;'_Комиссия_ВБ'!$A:$A;0));0,28)</f>
        <v/>
      </c>
      <c r="AK267" s="3">
        <f>AJ267+AF267</f>
        <v/>
      </c>
      <c r="AL267" s="2">
        <f>L267*AK267</f>
        <v/>
      </c>
      <c r="AM267" s="2" t="n"/>
      <c r="AO267" s="3">
        <f>'_Настройки'!$B$5</f>
        <v/>
      </c>
      <c r="AP267" s="2">
        <f>IF(K267&gt;0;K267*AO267;0)</f>
        <v/>
      </c>
      <c r="AQ267" s="2">
        <f>L267-K267-AI267-AE267-IF(AM267&gt;0;AM267;'_Настройки'!$B$9)-AP267-AC267</f>
        <v/>
      </c>
      <c r="AR267" s="3">
        <f>IF(L267&gt;0;AQ267/L267;"")</f>
        <v/>
      </c>
      <c r="AS267" s="3">
        <f>IF(K267&gt;0;AQ267/K267;"")</f>
        <v/>
      </c>
      <c r="AT267" s="2">
        <f>L267-K267-AL267-AE267-IF(AM267&gt;0;AM267;'_Настройки'!$B$9)-AP267-AC267</f>
        <v/>
      </c>
      <c r="AU267" s="3">
        <f>IF(L267&gt;0;AT267/L267;"")</f>
        <v/>
      </c>
      <c r="AV267" s="3">
        <f>IF(K267&gt;0;AT267/K267;"")</f>
        <v/>
      </c>
    </row>
    <row r="268">
      <c r="A268">
        <f>ROW()-1</f>
        <v/>
      </c>
      <c r="K268" s="2">
        <f>IFERROR(INDEX('_Цены_закупки'!$B:$B;MATCH(C268;'_Цены_закупки'!$A:$A;0));"")</f>
        <v/>
      </c>
      <c r="L268" s="2" t="n"/>
      <c r="M268" s="2" t="n"/>
      <c r="N268" s="3">
        <f>IF(AND(M268&gt;0;L268&gt;0);1-L268/M268;"")</f>
        <v/>
      </c>
      <c r="O268" s="2">
        <f>IF(OR(Q268="";K268=0);"";(K268+IF(AM268&gt;0;AM268;'_Настройки'!$B$9)+AP268+AC268+Q268*K268)/(1-AH268-AD268))</f>
        <v/>
      </c>
      <c r="P268" s="2">
        <f>IF(O268="";"";O268-K268-O268*AH268-O268*AD268-IF(AM268&gt;0;AM268;'_Настройки'!$B$9)-AP268-AC268)</f>
        <v/>
      </c>
      <c r="Q268" s="3">
        <f>IF(AND(O268&gt;0;K268&gt;0);P268/K268;"")</f>
        <v/>
      </c>
      <c r="R268" s="2">
        <f>IF(O268="";"";O268-K268-O268*AK268-O268*AD268-IF(AM268&gt;0;AM268;'_Настройки'!$B$9)-AP268-AC268)</f>
        <v/>
      </c>
      <c r="S268" s="3">
        <f>IF(AND(O268&gt;0;K268&gt;0);R268/K268;"")</f>
        <v/>
      </c>
      <c r="T268" s="2" t="n"/>
      <c r="U268" s="3">
        <f>IF(AND(L268&gt;0;T268&gt;0);1-T268/L268;"")</f>
        <v/>
      </c>
      <c r="V268" s="3">
        <f>'_Настройки'!$B$4</f>
        <v/>
      </c>
      <c r="Z268" s="4">
        <f>IF(AND(W268&gt;0;X268&gt;0;Y268&gt;0);W268*X268*Y268/1000;"")</f>
        <v/>
      </c>
      <c r="AB268" s="2">
        <f>('_Настройки'!$B$6+MAX(0;Z268-1)*'_Настройки'!$B$7)*IF(AA268&gt;0;AA268;'_Настройки'!$B$10)</f>
        <v/>
      </c>
      <c r="AC268" s="2">
        <f>AB268*(1+'_Настройки'!$B$8)</f>
        <v/>
      </c>
      <c r="AD268" s="3">
        <f>'_Настройки'!$B$2</f>
        <v/>
      </c>
      <c r="AE268" s="2">
        <f>L268*AD268</f>
        <v/>
      </c>
      <c r="AF268" s="3">
        <f>'_Настройки'!$B$3</f>
        <v/>
      </c>
      <c r="AG268" s="3">
        <f>IFERROR(INDEX('_Комиссия_ВБ'!$B:$B;MATCH(C268;'_Комиссия_ВБ'!$A:$A;0));0,245)</f>
        <v/>
      </c>
      <c r="AH268" s="3">
        <f>AG268+AF268</f>
        <v/>
      </c>
      <c r="AI268" s="2">
        <f>L268*AH268</f>
        <v/>
      </c>
      <c r="AJ268" s="3">
        <f>IFERROR(INDEX('_Комиссия_ВБ'!$C:$C;MATCH(C268;'_Комиссия_ВБ'!$A:$A;0));0,28)</f>
        <v/>
      </c>
      <c r="AK268" s="3">
        <f>AJ268+AF268</f>
        <v/>
      </c>
      <c r="AL268" s="2">
        <f>L268*AK268</f>
        <v/>
      </c>
      <c r="AM268" s="2" t="n"/>
      <c r="AO268" s="3">
        <f>'_Настройки'!$B$5</f>
        <v/>
      </c>
      <c r="AP268" s="2">
        <f>IF(K268&gt;0;K268*AO268;0)</f>
        <v/>
      </c>
      <c r="AQ268" s="2">
        <f>L268-K268-AI268-AE268-IF(AM268&gt;0;AM268;'_Настройки'!$B$9)-AP268-AC268</f>
        <v/>
      </c>
      <c r="AR268" s="3">
        <f>IF(L268&gt;0;AQ268/L268;"")</f>
        <v/>
      </c>
      <c r="AS268" s="3">
        <f>IF(K268&gt;0;AQ268/K268;"")</f>
        <v/>
      </c>
      <c r="AT268" s="2">
        <f>L268-K268-AL268-AE268-IF(AM268&gt;0;AM268;'_Настройки'!$B$9)-AP268-AC268</f>
        <v/>
      </c>
      <c r="AU268" s="3">
        <f>IF(L268&gt;0;AT268/L268;"")</f>
        <v/>
      </c>
      <c r="AV268" s="3">
        <f>IF(K268&gt;0;AT268/K268;"")</f>
        <v/>
      </c>
    </row>
    <row r="269">
      <c r="A269">
        <f>ROW()-1</f>
        <v/>
      </c>
      <c r="K269" s="2">
        <f>IFERROR(INDEX('_Цены_закупки'!$B:$B;MATCH(C269;'_Цены_закупки'!$A:$A;0));"")</f>
        <v/>
      </c>
      <c r="L269" s="2" t="n"/>
      <c r="M269" s="2" t="n"/>
      <c r="N269" s="3">
        <f>IF(AND(M269&gt;0;L269&gt;0);1-L269/M269;"")</f>
        <v/>
      </c>
      <c r="O269" s="2">
        <f>IF(OR(Q269="";K269=0);"";(K269+IF(AM269&gt;0;AM269;'_Настройки'!$B$9)+AP269+AC269+Q269*K269)/(1-AH269-AD269))</f>
        <v/>
      </c>
      <c r="P269" s="2">
        <f>IF(O269="";"";O269-K269-O269*AH269-O269*AD269-IF(AM269&gt;0;AM269;'_Настройки'!$B$9)-AP269-AC269)</f>
        <v/>
      </c>
      <c r="Q269" s="3">
        <f>IF(AND(O269&gt;0;K269&gt;0);P269/K269;"")</f>
        <v/>
      </c>
      <c r="R269" s="2">
        <f>IF(O269="";"";O269-K269-O269*AK269-O269*AD269-IF(AM269&gt;0;AM269;'_Настройки'!$B$9)-AP269-AC269)</f>
        <v/>
      </c>
      <c r="S269" s="3">
        <f>IF(AND(O269&gt;0;K269&gt;0);R269/K269;"")</f>
        <v/>
      </c>
      <c r="T269" s="2" t="n"/>
      <c r="U269" s="3">
        <f>IF(AND(L269&gt;0;T269&gt;0);1-T269/L269;"")</f>
        <v/>
      </c>
      <c r="V269" s="3">
        <f>'_Настройки'!$B$4</f>
        <v/>
      </c>
      <c r="Z269" s="4">
        <f>IF(AND(W269&gt;0;X269&gt;0;Y269&gt;0);W269*X269*Y269/1000;"")</f>
        <v/>
      </c>
      <c r="AB269" s="2">
        <f>('_Настройки'!$B$6+MAX(0;Z269-1)*'_Настройки'!$B$7)*IF(AA269&gt;0;AA269;'_Настройки'!$B$10)</f>
        <v/>
      </c>
      <c r="AC269" s="2">
        <f>AB269*(1+'_Настройки'!$B$8)</f>
        <v/>
      </c>
      <c r="AD269" s="3">
        <f>'_Настройки'!$B$2</f>
        <v/>
      </c>
      <c r="AE269" s="2">
        <f>L269*AD269</f>
        <v/>
      </c>
      <c r="AF269" s="3">
        <f>'_Настройки'!$B$3</f>
        <v/>
      </c>
      <c r="AG269" s="3">
        <f>IFERROR(INDEX('_Комиссия_ВБ'!$B:$B;MATCH(C269;'_Комиссия_ВБ'!$A:$A;0));0,245)</f>
        <v/>
      </c>
      <c r="AH269" s="3">
        <f>AG269+AF269</f>
        <v/>
      </c>
      <c r="AI269" s="2">
        <f>L269*AH269</f>
        <v/>
      </c>
      <c r="AJ269" s="3">
        <f>IFERROR(INDEX('_Комиссия_ВБ'!$C:$C;MATCH(C269;'_Комиссия_ВБ'!$A:$A;0));0,28)</f>
        <v/>
      </c>
      <c r="AK269" s="3">
        <f>AJ269+AF269</f>
        <v/>
      </c>
      <c r="AL269" s="2">
        <f>L269*AK269</f>
        <v/>
      </c>
      <c r="AM269" s="2" t="n"/>
      <c r="AO269" s="3">
        <f>'_Настройки'!$B$5</f>
        <v/>
      </c>
      <c r="AP269" s="2">
        <f>IF(K269&gt;0;K269*AO269;0)</f>
        <v/>
      </c>
      <c r="AQ269" s="2">
        <f>L269-K269-AI269-AE269-IF(AM269&gt;0;AM269;'_Настройки'!$B$9)-AP269-AC269</f>
        <v/>
      </c>
      <c r="AR269" s="3">
        <f>IF(L269&gt;0;AQ269/L269;"")</f>
        <v/>
      </c>
      <c r="AS269" s="3">
        <f>IF(K269&gt;0;AQ269/K269;"")</f>
        <v/>
      </c>
      <c r="AT269" s="2">
        <f>L269-K269-AL269-AE269-IF(AM269&gt;0;AM269;'_Настройки'!$B$9)-AP269-AC269</f>
        <v/>
      </c>
      <c r="AU269" s="3">
        <f>IF(L269&gt;0;AT269/L269;"")</f>
        <v/>
      </c>
      <c r="AV269" s="3">
        <f>IF(K269&gt;0;AT269/K269;"")</f>
        <v/>
      </c>
    </row>
    <row r="270">
      <c r="A270">
        <f>ROW()-1</f>
        <v/>
      </c>
      <c r="K270" s="2">
        <f>IFERROR(INDEX('_Цены_закупки'!$B:$B;MATCH(C270;'_Цены_закупки'!$A:$A;0));"")</f>
        <v/>
      </c>
      <c r="L270" s="2" t="n"/>
      <c r="M270" s="2" t="n"/>
      <c r="N270" s="3">
        <f>IF(AND(M270&gt;0;L270&gt;0);1-L270/M270;"")</f>
        <v/>
      </c>
      <c r="O270" s="2">
        <f>IF(OR(Q270="";K270=0);"";(K270+IF(AM270&gt;0;AM270;'_Настройки'!$B$9)+AP270+AC270+Q270*K270)/(1-AH270-AD270))</f>
        <v/>
      </c>
      <c r="P270" s="2">
        <f>IF(O270="";"";O270-K270-O270*AH270-O270*AD270-IF(AM270&gt;0;AM270;'_Настройки'!$B$9)-AP270-AC270)</f>
        <v/>
      </c>
      <c r="Q270" s="3">
        <f>IF(AND(O270&gt;0;K270&gt;0);P270/K270;"")</f>
        <v/>
      </c>
      <c r="R270" s="2">
        <f>IF(O270="";"";O270-K270-O270*AK270-O270*AD270-IF(AM270&gt;0;AM270;'_Настройки'!$B$9)-AP270-AC270)</f>
        <v/>
      </c>
      <c r="S270" s="3">
        <f>IF(AND(O270&gt;0;K270&gt;0);R270/K270;"")</f>
        <v/>
      </c>
      <c r="T270" s="2" t="n"/>
      <c r="U270" s="3">
        <f>IF(AND(L270&gt;0;T270&gt;0);1-T270/L270;"")</f>
        <v/>
      </c>
      <c r="V270" s="3">
        <f>'_Настройки'!$B$4</f>
        <v/>
      </c>
      <c r="Z270" s="4">
        <f>IF(AND(W270&gt;0;X270&gt;0;Y270&gt;0);W270*X270*Y270/1000;"")</f>
        <v/>
      </c>
      <c r="AB270" s="2">
        <f>('_Настройки'!$B$6+MAX(0;Z270-1)*'_Настройки'!$B$7)*IF(AA270&gt;0;AA270;'_Настройки'!$B$10)</f>
        <v/>
      </c>
      <c r="AC270" s="2">
        <f>AB270*(1+'_Настройки'!$B$8)</f>
        <v/>
      </c>
      <c r="AD270" s="3">
        <f>'_Настройки'!$B$2</f>
        <v/>
      </c>
      <c r="AE270" s="2">
        <f>L270*AD270</f>
        <v/>
      </c>
      <c r="AF270" s="3">
        <f>'_Настройки'!$B$3</f>
        <v/>
      </c>
      <c r="AG270" s="3">
        <f>IFERROR(INDEX('_Комиссия_ВБ'!$B:$B;MATCH(C270;'_Комиссия_ВБ'!$A:$A;0));0,245)</f>
        <v/>
      </c>
      <c r="AH270" s="3">
        <f>AG270+AF270</f>
        <v/>
      </c>
      <c r="AI270" s="2">
        <f>L270*AH270</f>
        <v/>
      </c>
      <c r="AJ270" s="3">
        <f>IFERROR(INDEX('_Комиссия_ВБ'!$C:$C;MATCH(C270;'_Комиссия_ВБ'!$A:$A;0));0,28)</f>
        <v/>
      </c>
      <c r="AK270" s="3">
        <f>AJ270+AF270</f>
        <v/>
      </c>
      <c r="AL270" s="2">
        <f>L270*AK270</f>
        <v/>
      </c>
      <c r="AM270" s="2" t="n"/>
      <c r="AO270" s="3">
        <f>'_Настройки'!$B$5</f>
        <v/>
      </c>
      <c r="AP270" s="2">
        <f>IF(K270&gt;0;K270*AO270;0)</f>
        <v/>
      </c>
      <c r="AQ270" s="2">
        <f>L270-K270-AI270-AE270-IF(AM270&gt;0;AM270;'_Настройки'!$B$9)-AP270-AC270</f>
        <v/>
      </c>
      <c r="AR270" s="3">
        <f>IF(L270&gt;0;AQ270/L270;"")</f>
        <v/>
      </c>
      <c r="AS270" s="3">
        <f>IF(K270&gt;0;AQ270/K270;"")</f>
        <v/>
      </c>
      <c r="AT270" s="2">
        <f>L270-K270-AL270-AE270-IF(AM270&gt;0;AM270;'_Настройки'!$B$9)-AP270-AC270</f>
        <v/>
      </c>
      <c r="AU270" s="3">
        <f>IF(L270&gt;0;AT270/L270;"")</f>
        <v/>
      </c>
      <c r="AV270" s="3">
        <f>IF(K270&gt;0;AT270/K270;"")</f>
        <v/>
      </c>
    </row>
    <row r="271">
      <c r="A271">
        <f>ROW()-1</f>
        <v/>
      </c>
      <c r="K271" s="2">
        <f>IFERROR(INDEX('_Цены_закупки'!$B:$B;MATCH(C271;'_Цены_закупки'!$A:$A;0));"")</f>
        <v/>
      </c>
      <c r="L271" s="2" t="n"/>
      <c r="M271" s="2" t="n"/>
      <c r="N271" s="3">
        <f>IF(AND(M271&gt;0;L271&gt;0);1-L271/M271;"")</f>
        <v/>
      </c>
      <c r="O271" s="2">
        <f>IF(OR(Q271="";K271=0);"";(K271+IF(AM271&gt;0;AM271;'_Настройки'!$B$9)+AP271+AC271+Q271*K271)/(1-AH271-AD271))</f>
        <v/>
      </c>
      <c r="P271" s="2">
        <f>IF(O271="";"";O271-K271-O271*AH271-O271*AD271-IF(AM271&gt;0;AM271;'_Настройки'!$B$9)-AP271-AC271)</f>
        <v/>
      </c>
      <c r="Q271" s="3">
        <f>IF(AND(O271&gt;0;K271&gt;0);P271/K271;"")</f>
        <v/>
      </c>
      <c r="R271" s="2">
        <f>IF(O271="";"";O271-K271-O271*AK271-O271*AD271-IF(AM271&gt;0;AM271;'_Настройки'!$B$9)-AP271-AC271)</f>
        <v/>
      </c>
      <c r="S271" s="3">
        <f>IF(AND(O271&gt;0;K271&gt;0);R271/K271;"")</f>
        <v/>
      </c>
      <c r="T271" s="2" t="n"/>
      <c r="U271" s="3">
        <f>IF(AND(L271&gt;0;T271&gt;0);1-T271/L271;"")</f>
        <v/>
      </c>
      <c r="V271" s="3">
        <f>'_Настройки'!$B$4</f>
        <v/>
      </c>
      <c r="Z271" s="4">
        <f>IF(AND(W271&gt;0;X271&gt;0;Y271&gt;0);W271*X271*Y271/1000;"")</f>
        <v/>
      </c>
      <c r="AB271" s="2">
        <f>('_Настройки'!$B$6+MAX(0;Z271-1)*'_Настройки'!$B$7)*IF(AA271&gt;0;AA271;'_Настройки'!$B$10)</f>
        <v/>
      </c>
      <c r="AC271" s="2">
        <f>AB271*(1+'_Настройки'!$B$8)</f>
        <v/>
      </c>
      <c r="AD271" s="3">
        <f>'_Настройки'!$B$2</f>
        <v/>
      </c>
      <c r="AE271" s="2">
        <f>L271*AD271</f>
        <v/>
      </c>
      <c r="AF271" s="3">
        <f>'_Настройки'!$B$3</f>
        <v/>
      </c>
      <c r="AG271" s="3">
        <f>IFERROR(INDEX('_Комиссия_ВБ'!$B:$B;MATCH(C271;'_Комиссия_ВБ'!$A:$A;0));0,245)</f>
        <v/>
      </c>
      <c r="AH271" s="3">
        <f>AG271+AF271</f>
        <v/>
      </c>
      <c r="AI271" s="2">
        <f>L271*AH271</f>
        <v/>
      </c>
      <c r="AJ271" s="3">
        <f>IFERROR(INDEX('_Комиссия_ВБ'!$C:$C;MATCH(C271;'_Комиссия_ВБ'!$A:$A;0));0,28)</f>
        <v/>
      </c>
      <c r="AK271" s="3">
        <f>AJ271+AF271</f>
        <v/>
      </c>
      <c r="AL271" s="2">
        <f>L271*AK271</f>
        <v/>
      </c>
      <c r="AM271" s="2" t="n"/>
      <c r="AO271" s="3">
        <f>'_Настройки'!$B$5</f>
        <v/>
      </c>
      <c r="AP271" s="2">
        <f>IF(K271&gt;0;K271*AO271;0)</f>
        <v/>
      </c>
      <c r="AQ271" s="2">
        <f>L271-K271-AI271-AE271-IF(AM271&gt;0;AM271;'_Настройки'!$B$9)-AP271-AC271</f>
        <v/>
      </c>
      <c r="AR271" s="3">
        <f>IF(L271&gt;0;AQ271/L271;"")</f>
        <v/>
      </c>
      <c r="AS271" s="3">
        <f>IF(K271&gt;0;AQ271/K271;"")</f>
        <v/>
      </c>
      <c r="AT271" s="2">
        <f>L271-K271-AL271-AE271-IF(AM271&gt;0;AM271;'_Настройки'!$B$9)-AP271-AC271</f>
        <v/>
      </c>
      <c r="AU271" s="3">
        <f>IF(L271&gt;0;AT271/L271;"")</f>
        <v/>
      </c>
      <c r="AV271" s="3">
        <f>IF(K271&gt;0;AT271/K271;"")</f>
        <v/>
      </c>
    </row>
    <row r="272">
      <c r="A272">
        <f>ROW()-1</f>
        <v/>
      </c>
      <c r="K272" s="2">
        <f>IFERROR(INDEX('_Цены_закупки'!$B:$B;MATCH(C272;'_Цены_закупки'!$A:$A;0));"")</f>
        <v/>
      </c>
      <c r="L272" s="2" t="n"/>
      <c r="M272" s="2" t="n"/>
      <c r="N272" s="3">
        <f>IF(AND(M272&gt;0;L272&gt;0);1-L272/M272;"")</f>
        <v/>
      </c>
      <c r="O272" s="2">
        <f>IF(OR(Q272="";K272=0);"";(K272+IF(AM272&gt;0;AM272;'_Настройки'!$B$9)+AP272+AC272+Q272*K272)/(1-AH272-AD272))</f>
        <v/>
      </c>
      <c r="P272" s="2">
        <f>IF(O272="";"";O272-K272-O272*AH272-O272*AD272-IF(AM272&gt;0;AM272;'_Настройки'!$B$9)-AP272-AC272)</f>
        <v/>
      </c>
      <c r="Q272" s="3">
        <f>IF(AND(O272&gt;0;K272&gt;0);P272/K272;"")</f>
        <v/>
      </c>
      <c r="R272" s="2">
        <f>IF(O272="";"";O272-K272-O272*AK272-O272*AD272-IF(AM272&gt;0;AM272;'_Настройки'!$B$9)-AP272-AC272)</f>
        <v/>
      </c>
      <c r="S272" s="3">
        <f>IF(AND(O272&gt;0;K272&gt;0);R272/K272;"")</f>
        <v/>
      </c>
      <c r="T272" s="2" t="n"/>
      <c r="U272" s="3">
        <f>IF(AND(L272&gt;0;T272&gt;0);1-T272/L272;"")</f>
        <v/>
      </c>
      <c r="V272" s="3">
        <f>'_Настройки'!$B$4</f>
        <v/>
      </c>
      <c r="Z272" s="4">
        <f>IF(AND(W272&gt;0;X272&gt;0;Y272&gt;0);W272*X272*Y272/1000;"")</f>
        <v/>
      </c>
      <c r="AB272" s="2">
        <f>('_Настройки'!$B$6+MAX(0;Z272-1)*'_Настройки'!$B$7)*IF(AA272&gt;0;AA272;'_Настройки'!$B$10)</f>
        <v/>
      </c>
      <c r="AC272" s="2">
        <f>AB272*(1+'_Настройки'!$B$8)</f>
        <v/>
      </c>
      <c r="AD272" s="3">
        <f>'_Настройки'!$B$2</f>
        <v/>
      </c>
      <c r="AE272" s="2">
        <f>L272*AD272</f>
        <v/>
      </c>
      <c r="AF272" s="3">
        <f>'_Настройки'!$B$3</f>
        <v/>
      </c>
      <c r="AG272" s="3">
        <f>IFERROR(INDEX('_Комиссия_ВБ'!$B:$B;MATCH(C272;'_Комиссия_ВБ'!$A:$A;0));0,245)</f>
        <v/>
      </c>
      <c r="AH272" s="3">
        <f>AG272+AF272</f>
        <v/>
      </c>
      <c r="AI272" s="2">
        <f>L272*AH272</f>
        <v/>
      </c>
      <c r="AJ272" s="3">
        <f>IFERROR(INDEX('_Комиссия_ВБ'!$C:$C;MATCH(C272;'_Комиссия_ВБ'!$A:$A;0));0,28)</f>
        <v/>
      </c>
      <c r="AK272" s="3">
        <f>AJ272+AF272</f>
        <v/>
      </c>
      <c r="AL272" s="2">
        <f>L272*AK272</f>
        <v/>
      </c>
      <c r="AM272" s="2" t="n"/>
      <c r="AO272" s="3">
        <f>'_Настройки'!$B$5</f>
        <v/>
      </c>
      <c r="AP272" s="2">
        <f>IF(K272&gt;0;K272*AO272;0)</f>
        <v/>
      </c>
      <c r="AQ272" s="2">
        <f>L272-K272-AI272-AE272-IF(AM272&gt;0;AM272;'_Настройки'!$B$9)-AP272-AC272</f>
        <v/>
      </c>
      <c r="AR272" s="3">
        <f>IF(L272&gt;0;AQ272/L272;"")</f>
        <v/>
      </c>
      <c r="AS272" s="3">
        <f>IF(K272&gt;0;AQ272/K272;"")</f>
        <v/>
      </c>
      <c r="AT272" s="2">
        <f>L272-K272-AL272-AE272-IF(AM272&gt;0;AM272;'_Настройки'!$B$9)-AP272-AC272</f>
        <v/>
      </c>
      <c r="AU272" s="3">
        <f>IF(L272&gt;0;AT272/L272;"")</f>
        <v/>
      </c>
      <c r="AV272" s="3">
        <f>IF(K272&gt;0;AT272/K272;"")</f>
        <v/>
      </c>
    </row>
    <row r="273">
      <c r="A273">
        <f>ROW()-1</f>
        <v/>
      </c>
      <c r="K273" s="2">
        <f>IFERROR(INDEX('_Цены_закупки'!$B:$B;MATCH(C273;'_Цены_закупки'!$A:$A;0));"")</f>
        <v/>
      </c>
      <c r="L273" s="2" t="n"/>
      <c r="M273" s="2" t="n"/>
      <c r="N273" s="3">
        <f>IF(AND(M273&gt;0;L273&gt;0);1-L273/M273;"")</f>
        <v/>
      </c>
      <c r="O273" s="2">
        <f>IF(OR(Q273="";K273=0);"";(K273+IF(AM273&gt;0;AM273;'_Настройки'!$B$9)+AP273+AC273+Q273*K273)/(1-AH273-AD273))</f>
        <v/>
      </c>
      <c r="P273" s="2">
        <f>IF(O273="";"";O273-K273-O273*AH273-O273*AD273-IF(AM273&gt;0;AM273;'_Настройки'!$B$9)-AP273-AC273)</f>
        <v/>
      </c>
      <c r="Q273" s="3">
        <f>IF(AND(O273&gt;0;K273&gt;0);P273/K273;"")</f>
        <v/>
      </c>
      <c r="R273" s="2">
        <f>IF(O273="";"";O273-K273-O273*AK273-O273*AD273-IF(AM273&gt;0;AM273;'_Настройки'!$B$9)-AP273-AC273)</f>
        <v/>
      </c>
      <c r="S273" s="3">
        <f>IF(AND(O273&gt;0;K273&gt;0);R273/K273;"")</f>
        <v/>
      </c>
      <c r="T273" s="2" t="n"/>
      <c r="U273" s="3">
        <f>IF(AND(L273&gt;0;T273&gt;0);1-T273/L273;"")</f>
        <v/>
      </c>
      <c r="V273" s="3">
        <f>'_Настройки'!$B$4</f>
        <v/>
      </c>
      <c r="Z273" s="4">
        <f>IF(AND(W273&gt;0;X273&gt;0;Y273&gt;0);W273*X273*Y273/1000;"")</f>
        <v/>
      </c>
      <c r="AB273" s="2">
        <f>('_Настройки'!$B$6+MAX(0;Z273-1)*'_Настройки'!$B$7)*IF(AA273&gt;0;AA273;'_Настройки'!$B$10)</f>
        <v/>
      </c>
      <c r="AC273" s="2">
        <f>AB273*(1+'_Настройки'!$B$8)</f>
        <v/>
      </c>
      <c r="AD273" s="3">
        <f>'_Настройки'!$B$2</f>
        <v/>
      </c>
      <c r="AE273" s="2">
        <f>L273*AD273</f>
        <v/>
      </c>
      <c r="AF273" s="3">
        <f>'_Настройки'!$B$3</f>
        <v/>
      </c>
      <c r="AG273" s="3">
        <f>IFERROR(INDEX('_Комиссия_ВБ'!$B:$B;MATCH(C273;'_Комиссия_ВБ'!$A:$A;0));0,245)</f>
        <v/>
      </c>
      <c r="AH273" s="3">
        <f>AG273+AF273</f>
        <v/>
      </c>
      <c r="AI273" s="2">
        <f>L273*AH273</f>
        <v/>
      </c>
      <c r="AJ273" s="3">
        <f>IFERROR(INDEX('_Комиссия_ВБ'!$C:$C;MATCH(C273;'_Комиссия_ВБ'!$A:$A;0));0,28)</f>
        <v/>
      </c>
      <c r="AK273" s="3">
        <f>AJ273+AF273</f>
        <v/>
      </c>
      <c r="AL273" s="2">
        <f>L273*AK273</f>
        <v/>
      </c>
      <c r="AM273" s="2" t="n"/>
      <c r="AO273" s="3">
        <f>'_Настройки'!$B$5</f>
        <v/>
      </c>
      <c r="AP273" s="2">
        <f>IF(K273&gt;0;K273*AO273;0)</f>
        <v/>
      </c>
      <c r="AQ273" s="2">
        <f>L273-K273-AI273-AE273-IF(AM273&gt;0;AM273;'_Настройки'!$B$9)-AP273-AC273</f>
        <v/>
      </c>
      <c r="AR273" s="3">
        <f>IF(L273&gt;0;AQ273/L273;"")</f>
        <v/>
      </c>
      <c r="AS273" s="3">
        <f>IF(K273&gt;0;AQ273/K273;"")</f>
        <v/>
      </c>
      <c r="AT273" s="2">
        <f>L273-K273-AL273-AE273-IF(AM273&gt;0;AM273;'_Настройки'!$B$9)-AP273-AC273</f>
        <v/>
      </c>
      <c r="AU273" s="3">
        <f>IF(L273&gt;0;AT273/L273;"")</f>
        <v/>
      </c>
      <c r="AV273" s="3">
        <f>IF(K273&gt;0;AT273/K273;"")</f>
        <v/>
      </c>
    </row>
    <row r="274">
      <c r="A274">
        <f>ROW()-1</f>
        <v/>
      </c>
      <c r="K274" s="2">
        <f>IFERROR(INDEX('_Цены_закупки'!$B:$B;MATCH(C274;'_Цены_закупки'!$A:$A;0));"")</f>
        <v/>
      </c>
      <c r="L274" s="2" t="n"/>
      <c r="M274" s="2" t="n"/>
      <c r="N274" s="3">
        <f>IF(AND(M274&gt;0;L274&gt;0);1-L274/M274;"")</f>
        <v/>
      </c>
      <c r="O274" s="2">
        <f>IF(OR(Q274="";K274=0);"";(K274+IF(AM274&gt;0;AM274;'_Настройки'!$B$9)+AP274+AC274+Q274*K274)/(1-AH274-AD274))</f>
        <v/>
      </c>
      <c r="P274" s="2">
        <f>IF(O274="";"";O274-K274-O274*AH274-O274*AD274-IF(AM274&gt;0;AM274;'_Настройки'!$B$9)-AP274-AC274)</f>
        <v/>
      </c>
      <c r="Q274" s="3">
        <f>IF(AND(O274&gt;0;K274&gt;0);P274/K274;"")</f>
        <v/>
      </c>
      <c r="R274" s="2">
        <f>IF(O274="";"";O274-K274-O274*AK274-O274*AD274-IF(AM274&gt;0;AM274;'_Настройки'!$B$9)-AP274-AC274)</f>
        <v/>
      </c>
      <c r="S274" s="3">
        <f>IF(AND(O274&gt;0;K274&gt;0);R274/K274;"")</f>
        <v/>
      </c>
      <c r="T274" s="2" t="n"/>
      <c r="U274" s="3">
        <f>IF(AND(L274&gt;0;T274&gt;0);1-T274/L274;"")</f>
        <v/>
      </c>
      <c r="V274" s="3">
        <f>'_Настройки'!$B$4</f>
        <v/>
      </c>
      <c r="Z274" s="4">
        <f>IF(AND(W274&gt;0;X274&gt;0;Y274&gt;0);W274*X274*Y274/1000;"")</f>
        <v/>
      </c>
      <c r="AB274" s="2">
        <f>('_Настройки'!$B$6+MAX(0;Z274-1)*'_Настройки'!$B$7)*IF(AA274&gt;0;AA274;'_Настройки'!$B$10)</f>
        <v/>
      </c>
      <c r="AC274" s="2">
        <f>AB274*(1+'_Настройки'!$B$8)</f>
        <v/>
      </c>
      <c r="AD274" s="3">
        <f>'_Настройки'!$B$2</f>
        <v/>
      </c>
      <c r="AE274" s="2">
        <f>L274*AD274</f>
        <v/>
      </c>
      <c r="AF274" s="3">
        <f>'_Настройки'!$B$3</f>
        <v/>
      </c>
      <c r="AG274" s="3">
        <f>IFERROR(INDEX('_Комиссия_ВБ'!$B:$B;MATCH(C274;'_Комиссия_ВБ'!$A:$A;0));0,245)</f>
        <v/>
      </c>
      <c r="AH274" s="3">
        <f>AG274+AF274</f>
        <v/>
      </c>
      <c r="AI274" s="2">
        <f>L274*AH274</f>
        <v/>
      </c>
      <c r="AJ274" s="3">
        <f>IFERROR(INDEX('_Комиссия_ВБ'!$C:$C;MATCH(C274;'_Комиссия_ВБ'!$A:$A;0));0,28)</f>
        <v/>
      </c>
      <c r="AK274" s="3">
        <f>AJ274+AF274</f>
        <v/>
      </c>
      <c r="AL274" s="2">
        <f>L274*AK274</f>
        <v/>
      </c>
      <c r="AM274" s="2" t="n"/>
      <c r="AO274" s="3">
        <f>'_Настройки'!$B$5</f>
        <v/>
      </c>
      <c r="AP274" s="2">
        <f>IF(K274&gt;0;K274*AO274;0)</f>
        <v/>
      </c>
      <c r="AQ274" s="2">
        <f>L274-K274-AI274-AE274-IF(AM274&gt;0;AM274;'_Настройки'!$B$9)-AP274-AC274</f>
        <v/>
      </c>
      <c r="AR274" s="3">
        <f>IF(L274&gt;0;AQ274/L274;"")</f>
        <v/>
      </c>
      <c r="AS274" s="3">
        <f>IF(K274&gt;0;AQ274/K274;"")</f>
        <v/>
      </c>
      <c r="AT274" s="2">
        <f>L274-K274-AL274-AE274-IF(AM274&gt;0;AM274;'_Настройки'!$B$9)-AP274-AC274</f>
        <v/>
      </c>
      <c r="AU274" s="3">
        <f>IF(L274&gt;0;AT274/L274;"")</f>
        <v/>
      </c>
      <c r="AV274" s="3">
        <f>IF(K274&gt;0;AT274/K274;"")</f>
        <v/>
      </c>
    </row>
    <row r="275">
      <c r="A275">
        <f>ROW()-1</f>
        <v/>
      </c>
      <c r="K275" s="2">
        <f>IFERROR(INDEX('_Цены_закупки'!$B:$B;MATCH(C275;'_Цены_закупки'!$A:$A;0));"")</f>
        <v/>
      </c>
      <c r="L275" s="2" t="n"/>
      <c r="M275" s="2" t="n"/>
      <c r="N275" s="3">
        <f>IF(AND(M275&gt;0;L275&gt;0);1-L275/M275;"")</f>
        <v/>
      </c>
      <c r="O275" s="2">
        <f>IF(OR(Q275="";K275=0);"";(K275+IF(AM275&gt;0;AM275;'_Настройки'!$B$9)+AP275+AC275+Q275*K275)/(1-AH275-AD275))</f>
        <v/>
      </c>
      <c r="P275" s="2">
        <f>IF(O275="";"";O275-K275-O275*AH275-O275*AD275-IF(AM275&gt;0;AM275;'_Настройки'!$B$9)-AP275-AC275)</f>
        <v/>
      </c>
      <c r="Q275" s="3">
        <f>IF(AND(O275&gt;0;K275&gt;0);P275/K275;"")</f>
        <v/>
      </c>
      <c r="R275" s="2">
        <f>IF(O275="";"";O275-K275-O275*AK275-O275*AD275-IF(AM275&gt;0;AM275;'_Настройки'!$B$9)-AP275-AC275)</f>
        <v/>
      </c>
      <c r="S275" s="3">
        <f>IF(AND(O275&gt;0;K275&gt;0);R275/K275;"")</f>
        <v/>
      </c>
      <c r="T275" s="2" t="n"/>
      <c r="U275" s="3">
        <f>IF(AND(L275&gt;0;T275&gt;0);1-T275/L275;"")</f>
        <v/>
      </c>
      <c r="V275" s="3">
        <f>'_Настройки'!$B$4</f>
        <v/>
      </c>
      <c r="Z275" s="4">
        <f>IF(AND(W275&gt;0;X275&gt;0;Y275&gt;0);W275*X275*Y275/1000;"")</f>
        <v/>
      </c>
      <c r="AB275" s="2">
        <f>('_Настройки'!$B$6+MAX(0;Z275-1)*'_Настройки'!$B$7)*IF(AA275&gt;0;AA275;'_Настройки'!$B$10)</f>
        <v/>
      </c>
      <c r="AC275" s="2">
        <f>AB275*(1+'_Настройки'!$B$8)</f>
        <v/>
      </c>
      <c r="AD275" s="3">
        <f>'_Настройки'!$B$2</f>
        <v/>
      </c>
      <c r="AE275" s="2">
        <f>L275*AD275</f>
        <v/>
      </c>
      <c r="AF275" s="3">
        <f>'_Настройки'!$B$3</f>
        <v/>
      </c>
      <c r="AG275" s="3">
        <f>IFERROR(INDEX('_Комиссия_ВБ'!$B:$B;MATCH(C275;'_Комиссия_ВБ'!$A:$A;0));0,245)</f>
        <v/>
      </c>
      <c r="AH275" s="3">
        <f>AG275+AF275</f>
        <v/>
      </c>
      <c r="AI275" s="2">
        <f>L275*AH275</f>
        <v/>
      </c>
      <c r="AJ275" s="3">
        <f>IFERROR(INDEX('_Комиссия_ВБ'!$C:$C;MATCH(C275;'_Комиссия_ВБ'!$A:$A;0));0,28)</f>
        <v/>
      </c>
      <c r="AK275" s="3">
        <f>AJ275+AF275</f>
        <v/>
      </c>
      <c r="AL275" s="2">
        <f>L275*AK275</f>
        <v/>
      </c>
      <c r="AM275" s="2" t="n"/>
      <c r="AO275" s="3">
        <f>'_Настройки'!$B$5</f>
        <v/>
      </c>
      <c r="AP275" s="2">
        <f>IF(K275&gt;0;K275*AO275;0)</f>
        <v/>
      </c>
      <c r="AQ275" s="2">
        <f>L275-K275-AI275-AE275-IF(AM275&gt;0;AM275;'_Настройки'!$B$9)-AP275-AC275</f>
        <v/>
      </c>
      <c r="AR275" s="3">
        <f>IF(L275&gt;0;AQ275/L275;"")</f>
        <v/>
      </c>
      <c r="AS275" s="3">
        <f>IF(K275&gt;0;AQ275/K275;"")</f>
        <v/>
      </c>
      <c r="AT275" s="2">
        <f>L275-K275-AL275-AE275-IF(AM275&gt;0;AM275;'_Настройки'!$B$9)-AP275-AC275</f>
        <v/>
      </c>
      <c r="AU275" s="3">
        <f>IF(L275&gt;0;AT275/L275;"")</f>
        <v/>
      </c>
      <c r="AV275" s="3">
        <f>IF(K275&gt;0;AT275/K275;"")</f>
        <v/>
      </c>
    </row>
    <row r="276">
      <c r="A276">
        <f>ROW()-1</f>
        <v/>
      </c>
      <c r="K276" s="2">
        <f>IFERROR(INDEX('_Цены_закупки'!$B:$B;MATCH(C276;'_Цены_закупки'!$A:$A;0));"")</f>
        <v/>
      </c>
      <c r="L276" s="2" t="n"/>
      <c r="M276" s="2" t="n"/>
      <c r="N276" s="3">
        <f>IF(AND(M276&gt;0;L276&gt;0);1-L276/M276;"")</f>
        <v/>
      </c>
      <c r="O276" s="2">
        <f>IF(OR(Q276="";K276=0);"";(K276+IF(AM276&gt;0;AM276;'_Настройки'!$B$9)+AP276+AC276+Q276*K276)/(1-AH276-AD276))</f>
        <v/>
      </c>
      <c r="P276" s="2">
        <f>IF(O276="";"";O276-K276-O276*AH276-O276*AD276-IF(AM276&gt;0;AM276;'_Настройки'!$B$9)-AP276-AC276)</f>
        <v/>
      </c>
      <c r="Q276" s="3">
        <f>IF(AND(O276&gt;0;K276&gt;0);P276/K276;"")</f>
        <v/>
      </c>
      <c r="R276" s="2">
        <f>IF(O276="";"";O276-K276-O276*AK276-O276*AD276-IF(AM276&gt;0;AM276;'_Настройки'!$B$9)-AP276-AC276)</f>
        <v/>
      </c>
      <c r="S276" s="3">
        <f>IF(AND(O276&gt;0;K276&gt;0);R276/K276;"")</f>
        <v/>
      </c>
      <c r="T276" s="2" t="n"/>
      <c r="U276" s="3">
        <f>IF(AND(L276&gt;0;T276&gt;0);1-T276/L276;"")</f>
        <v/>
      </c>
      <c r="V276" s="3">
        <f>'_Настройки'!$B$4</f>
        <v/>
      </c>
      <c r="Z276" s="4">
        <f>IF(AND(W276&gt;0;X276&gt;0;Y276&gt;0);W276*X276*Y276/1000;"")</f>
        <v/>
      </c>
      <c r="AB276" s="2">
        <f>('_Настройки'!$B$6+MAX(0;Z276-1)*'_Настройки'!$B$7)*IF(AA276&gt;0;AA276;'_Настройки'!$B$10)</f>
        <v/>
      </c>
      <c r="AC276" s="2">
        <f>AB276*(1+'_Настройки'!$B$8)</f>
        <v/>
      </c>
      <c r="AD276" s="3">
        <f>'_Настройки'!$B$2</f>
        <v/>
      </c>
      <c r="AE276" s="2">
        <f>L276*AD276</f>
        <v/>
      </c>
      <c r="AF276" s="3">
        <f>'_Настройки'!$B$3</f>
        <v/>
      </c>
      <c r="AG276" s="3">
        <f>IFERROR(INDEX('_Комиссия_ВБ'!$B:$B;MATCH(C276;'_Комиссия_ВБ'!$A:$A;0));0,245)</f>
        <v/>
      </c>
      <c r="AH276" s="3">
        <f>AG276+AF276</f>
        <v/>
      </c>
      <c r="AI276" s="2">
        <f>L276*AH276</f>
        <v/>
      </c>
      <c r="AJ276" s="3">
        <f>IFERROR(INDEX('_Комиссия_ВБ'!$C:$C;MATCH(C276;'_Комиссия_ВБ'!$A:$A;0));0,28)</f>
        <v/>
      </c>
      <c r="AK276" s="3">
        <f>AJ276+AF276</f>
        <v/>
      </c>
      <c r="AL276" s="2">
        <f>L276*AK276</f>
        <v/>
      </c>
      <c r="AM276" s="2" t="n"/>
      <c r="AO276" s="3">
        <f>'_Настройки'!$B$5</f>
        <v/>
      </c>
      <c r="AP276" s="2">
        <f>IF(K276&gt;0;K276*AO276;0)</f>
        <v/>
      </c>
      <c r="AQ276" s="2">
        <f>L276-K276-AI276-AE276-IF(AM276&gt;0;AM276;'_Настройки'!$B$9)-AP276-AC276</f>
        <v/>
      </c>
      <c r="AR276" s="3">
        <f>IF(L276&gt;0;AQ276/L276;"")</f>
        <v/>
      </c>
      <c r="AS276" s="3">
        <f>IF(K276&gt;0;AQ276/K276;"")</f>
        <v/>
      </c>
      <c r="AT276" s="2">
        <f>L276-K276-AL276-AE276-IF(AM276&gt;0;AM276;'_Настройки'!$B$9)-AP276-AC276</f>
        <v/>
      </c>
      <c r="AU276" s="3">
        <f>IF(L276&gt;0;AT276/L276;"")</f>
        <v/>
      </c>
      <c r="AV276" s="3">
        <f>IF(K276&gt;0;AT276/K276;"")</f>
        <v/>
      </c>
    </row>
    <row r="277">
      <c r="A277">
        <f>ROW()-1</f>
        <v/>
      </c>
      <c r="K277" s="2">
        <f>IFERROR(INDEX('_Цены_закупки'!$B:$B;MATCH(C277;'_Цены_закупки'!$A:$A;0));"")</f>
        <v/>
      </c>
      <c r="L277" s="2" t="n"/>
      <c r="M277" s="2" t="n"/>
      <c r="N277" s="3">
        <f>IF(AND(M277&gt;0;L277&gt;0);1-L277/M277;"")</f>
        <v/>
      </c>
      <c r="O277" s="2">
        <f>IF(OR(Q277="";K277=0);"";(K277+IF(AM277&gt;0;AM277;'_Настройки'!$B$9)+AP277+AC277+Q277*K277)/(1-AH277-AD277))</f>
        <v/>
      </c>
      <c r="P277" s="2">
        <f>IF(O277="";"";O277-K277-O277*AH277-O277*AD277-IF(AM277&gt;0;AM277;'_Настройки'!$B$9)-AP277-AC277)</f>
        <v/>
      </c>
      <c r="Q277" s="3">
        <f>IF(AND(O277&gt;0;K277&gt;0);P277/K277;"")</f>
        <v/>
      </c>
      <c r="R277" s="2">
        <f>IF(O277="";"";O277-K277-O277*AK277-O277*AD277-IF(AM277&gt;0;AM277;'_Настройки'!$B$9)-AP277-AC277)</f>
        <v/>
      </c>
      <c r="S277" s="3">
        <f>IF(AND(O277&gt;0;K277&gt;0);R277/K277;"")</f>
        <v/>
      </c>
      <c r="T277" s="2" t="n"/>
      <c r="U277" s="3">
        <f>IF(AND(L277&gt;0;T277&gt;0);1-T277/L277;"")</f>
        <v/>
      </c>
      <c r="V277" s="3">
        <f>'_Настройки'!$B$4</f>
        <v/>
      </c>
      <c r="Z277" s="4">
        <f>IF(AND(W277&gt;0;X277&gt;0;Y277&gt;0);W277*X277*Y277/1000;"")</f>
        <v/>
      </c>
      <c r="AB277" s="2">
        <f>('_Настройки'!$B$6+MAX(0;Z277-1)*'_Настройки'!$B$7)*IF(AA277&gt;0;AA277;'_Настройки'!$B$10)</f>
        <v/>
      </c>
      <c r="AC277" s="2">
        <f>AB277*(1+'_Настройки'!$B$8)</f>
        <v/>
      </c>
      <c r="AD277" s="3">
        <f>'_Настройки'!$B$2</f>
        <v/>
      </c>
      <c r="AE277" s="2">
        <f>L277*AD277</f>
        <v/>
      </c>
      <c r="AF277" s="3">
        <f>'_Настройки'!$B$3</f>
        <v/>
      </c>
      <c r="AG277" s="3">
        <f>IFERROR(INDEX('_Комиссия_ВБ'!$B:$B;MATCH(C277;'_Комиссия_ВБ'!$A:$A;0));0,245)</f>
        <v/>
      </c>
      <c r="AH277" s="3">
        <f>AG277+AF277</f>
        <v/>
      </c>
      <c r="AI277" s="2">
        <f>L277*AH277</f>
        <v/>
      </c>
      <c r="AJ277" s="3">
        <f>IFERROR(INDEX('_Комиссия_ВБ'!$C:$C;MATCH(C277;'_Комиссия_ВБ'!$A:$A;0));0,28)</f>
        <v/>
      </c>
      <c r="AK277" s="3">
        <f>AJ277+AF277</f>
        <v/>
      </c>
      <c r="AL277" s="2">
        <f>L277*AK277</f>
        <v/>
      </c>
      <c r="AM277" s="2" t="n"/>
      <c r="AO277" s="3">
        <f>'_Настройки'!$B$5</f>
        <v/>
      </c>
      <c r="AP277" s="2">
        <f>IF(K277&gt;0;K277*AO277;0)</f>
        <v/>
      </c>
      <c r="AQ277" s="2">
        <f>L277-K277-AI277-AE277-IF(AM277&gt;0;AM277;'_Настройки'!$B$9)-AP277-AC277</f>
        <v/>
      </c>
      <c r="AR277" s="3">
        <f>IF(L277&gt;0;AQ277/L277;"")</f>
        <v/>
      </c>
      <c r="AS277" s="3">
        <f>IF(K277&gt;0;AQ277/K277;"")</f>
        <v/>
      </c>
      <c r="AT277" s="2">
        <f>L277-K277-AL277-AE277-IF(AM277&gt;0;AM277;'_Настройки'!$B$9)-AP277-AC277</f>
        <v/>
      </c>
      <c r="AU277" s="3">
        <f>IF(L277&gt;0;AT277/L277;"")</f>
        <v/>
      </c>
      <c r="AV277" s="3">
        <f>IF(K277&gt;0;AT277/K277;"")</f>
        <v/>
      </c>
    </row>
    <row r="278">
      <c r="A278">
        <f>ROW()-1</f>
        <v/>
      </c>
      <c r="K278" s="2">
        <f>IFERROR(INDEX('_Цены_закупки'!$B:$B;MATCH(C278;'_Цены_закупки'!$A:$A;0));"")</f>
        <v/>
      </c>
      <c r="L278" s="2" t="n"/>
      <c r="M278" s="2" t="n"/>
      <c r="N278" s="3">
        <f>IF(AND(M278&gt;0;L278&gt;0);1-L278/M278;"")</f>
        <v/>
      </c>
      <c r="O278" s="2">
        <f>IF(OR(Q278="";K278=0);"";(K278+IF(AM278&gt;0;AM278;'_Настройки'!$B$9)+AP278+AC278+Q278*K278)/(1-AH278-AD278))</f>
        <v/>
      </c>
      <c r="P278" s="2">
        <f>IF(O278="";"";O278-K278-O278*AH278-O278*AD278-IF(AM278&gt;0;AM278;'_Настройки'!$B$9)-AP278-AC278)</f>
        <v/>
      </c>
      <c r="Q278" s="3">
        <f>IF(AND(O278&gt;0;K278&gt;0);P278/K278;"")</f>
        <v/>
      </c>
      <c r="R278" s="2">
        <f>IF(O278="";"";O278-K278-O278*AK278-O278*AD278-IF(AM278&gt;0;AM278;'_Настройки'!$B$9)-AP278-AC278)</f>
        <v/>
      </c>
      <c r="S278" s="3">
        <f>IF(AND(O278&gt;0;K278&gt;0);R278/K278;"")</f>
        <v/>
      </c>
      <c r="T278" s="2" t="n"/>
      <c r="U278" s="3">
        <f>IF(AND(L278&gt;0;T278&gt;0);1-T278/L278;"")</f>
        <v/>
      </c>
      <c r="V278" s="3">
        <f>'_Настройки'!$B$4</f>
        <v/>
      </c>
      <c r="Z278" s="4">
        <f>IF(AND(W278&gt;0;X278&gt;0;Y278&gt;0);W278*X278*Y278/1000;"")</f>
        <v/>
      </c>
      <c r="AB278" s="2">
        <f>('_Настройки'!$B$6+MAX(0;Z278-1)*'_Настройки'!$B$7)*IF(AA278&gt;0;AA278;'_Настройки'!$B$10)</f>
        <v/>
      </c>
      <c r="AC278" s="2">
        <f>AB278*(1+'_Настройки'!$B$8)</f>
        <v/>
      </c>
      <c r="AD278" s="3">
        <f>'_Настройки'!$B$2</f>
        <v/>
      </c>
      <c r="AE278" s="2">
        <f>L278*AD278</f>
        <v/>
      </c>
      <c r="AF278" s="3">
        <f>'_Настройки'!$B$3</f>
        <v/>
      </c>
      <c r="AG278" s="3">
        <f>IFERROR(INDEX('_Комиссия_ВБ'!$B:$B;MATCH(C278;'_Комиссия_ВБ'!$A:$A;0));0,245)</f>
        <v/>
      </c>
      <c r="AH278" s="3">
        <f>AG278+AF278</f>
        <v/>
      </c>
      <c r="AI278" s="2">
        <f>L278*AH278</f>
        <v/>
      </c>
      <c r="AJ278" s="3">
        <f>IFERROR(INDEX('_Комиссия_ВБ'!$C:$C;MATCH(C278;'_Комиссия_ВБ'!$A:$A;0));0,28)</f>
        <v/>
      </c>
      <c r="AK278" s="3">
        <f>AJ278+AF278</f>
        <v/>
      </c>
      <c r="AL278" s="2">
        <f>L278*AK278</f>
        <v/>
      </c>
      <c r="AM278" s="2" t="n"/>
      <c r="AO278" s="3">
        <f>'_Настройки'!$B$5</f>
        <v/>
      </c>
      <c r="AP278" s="2">
        <f>IF(K278&gt;0;K278*AO278;0)</f>
        <v/>
      </c>
      <c r="AQ278" s="2">
        <f>L278-K278-AI278-AE278-IF(AM278&gt;0;AM278;'_Настройки'!$B$9)-AP278-AC278</f>
        <v/>
      </c>
      <c r="AR278" s="3">
        <f>IF(L278&gt;0;AQ278/L278;"")</f>
        <v/>
      </c>
      <c r="AS278" s="3">
        <f>IF(K278&gt;0;AQ278/K278;"")</f>
        <v/>
      </c>
      <c r="AT278" s="2">
        <f>L278-K278-AL278-AE278-IF(AM278&gt;0;AM278;'_Настройки'!$B$9)-AP278-AC278</f>
        <v/>
      </c>
      <c r="AU278" s="3">
        <f>IF(L278&gt;0;AT278/L278;"")</f>
        <v/>
      </c>
      <c r="AV278" s="3">
        <f>IF(K278&gt;0;AT278/K278;"")</f>
        <v/>
      </c>
    </row>
    <row r="279">
      <c r="A279">
        <f>ROW()-1</f>
        <v/>
      </c>
      <c r="K279" s="2">
        <f>IFERROR(INDEX('_Цены_закупки'!$B:$B;MATCH(C279;'_Цены_закупки'!$A:$A;0));"")</f>
        <v/>
      </c>
      <c r="L279" s="2" t="n"/>
      <c r="M279" s="2" t="n"/>
      <c r="N279" s="3">
        <f>IF(AND(M279&gt;0;L279&gt;0);1-L279/M279;"")</f>
        <v/>
      </c>
      <c r="O279" s="2">
        <f>IF(OR(Q279="";K279=0);"";(K279+IF(AM279&gt;0;AM279;'_Настройки'!$B$9)+AP279+AC279+Q279*K279)/(1-AH279-AD279))</f>
        <v/>
      </c>
      <c r="P279" s="2">
        <f>IF(O279="";"";O279-K279-O279*AH279-O279*AD279-IF(AM279&gt;0;AM279;'_Настройки'!$B$9)-AP279-AC279)</f>
        <v/>
      </c>
      <c r="Q279" s="3">
        <f>IF(AND(O279&gt;0;K279&gt;0);P279/K279;"")</f>
        <v/>
      </c>
      <c r="R279" s="2">
        <f>IF(O279="";"";O279-K279-O279*AK279-O279*AD279-IF(AM279&gt;0;AM279;'_Настройки'!$B$9)-AP279-AC279)</f>
        <v/>
      </c>
      <c r="S279" s="3">
        <f>IF(AND(O279&gt;0;K279&gt;0);R279/K279;"")</f>
        <v/>
      </c>
      <c r="T279" s="2" t="n"/>
      <c r="U279" s="3">
        <f>IF(AND(L279&gt;0;T279&gt;0);1-T279/L279;"")</f>
        <v/>
      </c>
      <c r="V279" s="3">
        <f>'_Настройки'!$B$4</f>
        <v/>
      </c>
      <c r="Z279" s="4">
        <f>IF(AND(W279&gt;0;X279&gt;0;Y279&gt;0);W279*X279*Y279/1000;"")</f>
        <v/>
      </c>
      <c r="AB279" s="2">
        <f>('_Настройки'!$B$6+MAX(0;Z279-1)*'_Настройки'!$B$7)*IF(AA279&gt;0;AA279;'_Настройки'!$B$10)</f>
        <v/>
      </c>
      <c r="AC279" s="2">
        <f>AB279*(1+'_Настройки'!$B$8)</f>
        <v/>
      </c>
      <c r="AD279" s="3">
        <f>'_Настройки'!$B$2</f>
        <v/>
      </c>
      <c r="AE279" s="2">
        <f>L279*AD279</f>
        <v/>
      </c>
      <c r="AF279" s="3">
        <f>'_Настройки'!$B$3</f>
        <v/>
      </c>
      <c r="AG279" s="3">
        <f>IFERROR(INDEX('_Комиссия_ВБ'!$B:$B;MATCH(C279;'_Комиссия_ВБ'!$A:$A;0));0,245)</f>
        <v/>
      </c>
      <c r="AH279" s="3">
        <f>AG279+AF279</f>
        <v/>
      </c>
      <c r="AI279" s="2">
        <f>L279*AH279</f>
        <v/>
      </c>
      <c r="AJ279" s="3">
        <f>IFERROR(INDEX('_Комиссия_ВБ'!$C:$C;MATCH(C279;'_Комиссия_ВБ'!$A:$A;0));0,28)</f>
        <v/>
      </c>
      <c r="AK279" s="3">
        <f>AJ279+AF279</f>
        <v/>
      </c>
      <c r="AL279" s="2">
        <f>L279*AK279</f>
        <v/>
      </c>
      <c r="AM279" s="2" t="n"/>
      <c r="AO279" s="3">
        <f>'_Настройки'!$B$5</f>
        <v/>
      </c>
      <c r="AP279" s="2">
        <f>IF(K279&gt;0;K279*AO279;0)</f>
        <v/>
      </c>
      <c r="AQ279" s="2">
        <f>L279-K279-AI279-AE279-IF(AM279&gt;0;AM279;'_Настройки'!$B$9)-AP279-AC279</f>
        <v/>
      </c>
      <c r="AR279" s="3">
        <f>IF(L279&gt;0;AQ279/L279;"")</f>
        <v/>
      </c>
      <c r="AS279" s="3">
        <f>IF(K279&gt;0;AQ279/K279;"")</f>
        <v/>
      </c>
      <c r="AT279" s="2">
        <f>L279-K279-AL279-AE279-IF(AM279&gt;0;AM279;'_Настройки'!$B$9)-AP279-AC279</f>
        <v/>
      </c>
      <c r="AU279" s="3">
        <f>IF(L279&gt;0;AT279/L279;"")</f>
        <v/>
      </c>
      <c r="AV279" s="3">
        <f>IF(K279&gt;0;AT279/K279;"")</f>
        <v/>
      </c>
    </row>
    <row r="280">
      <c r="A280">
        <f>ROW()-1</f>
        <v/>
      </c>
      <c r="K280" s="2">
        <f>IFERROR(INDEX('_Цены_закупки'!$B:$B;MATCH(C280;'_Цены_закупки'!$A:$A;0));"")</f>
        <v/>
      </c>
      <c r="L280" s="2" t="n"/>
      <c r="M280" s="2" t="n"/>
      <c r="N280" s="3">
        <f>IF(AND(M280&gt;0;L280&gt;0);1-L280/M280;"")</f>
        <v/>
      </c>
      <c r="O280" s="2">
        <f>IF(OR(Q280="";K280=0);"";(K280+IF(AM280&gt;0;AM280;'_Настройки'!$B$9)+AP280+AC280+Q280*K280)/(1-AH280-AD280))</f>
        <v/>
      </c>
      <c r="P280" s="2">
        <f>IF(O280="";"";O280-K280-O280*AH280-O280*AD280-IF(AM280&gt;0;AM280;'_Настройки'!$B$9)-AP280-AC280)</f>
        <v/>
      </c>
      <c r="Q280" s="3">
        <f>IF(AND(O280&gt;0;K280&gt;0);P280/K280;"")</f>
        <v/>
      </c>
      <c r="R280" s="2">
        <f>IF(O280="";"";O280-K280-O280*AK280-O280*AD280-IF(AM280&gt;0;AM280;'_Настройки'!$B$9)-AP280-AC280)</f>
        <v/>
      </c>
      <c r="S280" s="3">
        <f>IF(AND(O280&gt;0;K280&gt;0);R280/K280;"")</f>
        <v/>
      </c>
      <c r="T280" s="2" t="n"/>
      <c r="U280" s="3">
        <f>IF(AND(L280&gt;0;T280&gt;0);1-T280/L280;"")</f>
        <v/>
      </c>
      <c r="V280" s="3">
        <f>'_Настройки'!$B$4</f>
        <v/>
      </c>
      <c r="Z280" s="4">
        <f>IF(AND(W280&gt;0;X280&gt;0;Y280&gt;0);W280*X280*Y280/1000;"")</f>
        <v/>
      </c>
      <c r="AB280" s="2">
        <f>('_Настройки'!$B$6+MAX(0;Z280-1)*'_Настройки'!$B$7)*IF(AA280&gt;0;AA280;'_Настройки'!$B$10)</f>
        <v/>
      </c>
      <c r="AC280" s="2">
        <f>AB280*(1+'_Настройки'!$B$8)</f>
        <v/>
      </c>
      <c r="AD280" s="3">
        <f>'_Настройки'!$B$2</f>
        <v/>
      </c>
      <c r="AE280" s="2">
        <f>L280*AD280</f>
        <v/>
      </c>
      <c r="AF280" s="3">
        <f>'_Настройки'!$B$3</f>
        <v/>
      </c>
      <c r="AG280" s="3">
        <f>IFERROR(INDEX('_Комиссия_ВБ'!$B:$B;MATCH(C280;'_Комиссия_ВБ'!$A:$A;0));0,245)</f>
        <v/>
      </c>
      <c r="AH280" s="3">
        <f>AG280+AF280</f>
        <v/>
      </c>
      <c r="AI280" s="2">
        <f>L280*AH280</f>
        <v/>
      </c>
      <c r="AJ280" s="3">
        <f>IFERROR(INDEX('_Комиссия_ВБ'!$C:$C;MATCH(C280;'_Комиссия_ВБ'!$A:$A;0));0,28)</f>
        <v/>
      </c>
      <c r="AK280" s="3">
        <f>AJ280+AF280</f>
        <v/>
      </c>
      <c r="AL280" s="2">
        <f>L280*AK280</f>
        <v/>
      </c>
      <c r="AM280" s="2" t="n"/>
      <c r="AO280" s="3">
        <f>'_Настройки'!$B$5</f>
        <v/>
      </c>
      <c r="AP280" s="2">
        <f>IF(K280&gt;0;K280*AO280;0)</f>
        <v/>
      </c>
      <c r="AQ280" s="2">
        <f>L280-K280-AI280-AE280-IF(AM280&gt;0;AM280;'_Настройки'!$B$9)-AP280-AC280</f>
        <v/>
      </c>
      <c r="AR280" s="3">
        <f>IF(L280&gt;0;AQ280/L280;"")</f>
        <v/>
      </c>
      <c r="AS280" s="3">
        <f>IF(K280&gt;0;AQ280/K280;"")</f>
        <v/>
      </c>
      <c r="AT280" s="2">
        <f>L280-K280-AL280-AE280-IF(AM280&gt;0;AM280;'_Настройки'!$B$9)-AP280-AC280</f>
        <v/>
      </c>
      <c r="AU280" s="3">
        <f>IF(L280&gt;0;AT280/L280;"")</f>
        <v/>
      </c>
      <c r="AV280" s="3">
        <f>IF(K280&gt;0;AT280/K280;"")</f>
        <v/>
      </c>
    </row>
    <row r="281">
      <c r="A281">
        <f>ROW()-1</f>
        <v/>
      </c>
      <c r="K281" s="2">
        <f>IFERROR(INDEX('_Цены_закупки'!$B:$B;MATCH(C281;'_Цены_закупки'!$A:$A;0));"")</f>
        <v/>
      </c>
      <c r="L281" s="2" t="n"/>
      <c r="M281" s="2" t="n"/>
      <c r="N281" s="3">
        <f>IF(AND(M281&gt;0;L281&gt;0);1-L281/M281;"")</f>
        <v/>
      </c>
      <c r="O281" s="2">
        <f>IF(OR(Q281="";K281=0);"";(K281+IF(AM281&gt;0;AM281;'_Настройки'!$B$9)+AP281+AC281+Q281*K281)/(1-AH281-AD281))</f>
        <v/>
      </c>
      <c r="P281" s="2">
        <f>IF(O281="";"";O281-K281-O281*AH281-O281*AD281-IF(AM281&gt;0;AM281;'_Настройки'!$B$9)-AP281-AC281)</f>
        <v/>
      </c>
      <c r="Q281" s="3">
        <f>IF(AND(O281&gt;0;K281&gt;0);P281/K281;"")</f>
        <v/>
      </c>
      <c r="R281" s="2">
        <f>IF(O281="";"";O281-K281-O281*AK281-O281*AD281-IF(AM281&gt;0;AM281;'_Настройки'!$B$9)-AP281-AC281)</f>
        <v/>
      </c>
      <c r="S281" s="3">
        <f>IF(AND(O281&gt;0;K281&gt;0);R281/K281;"")</f>
        <v/>
      </c>
      <c r="T281" s="2" t="n"/>
      <c r="U281" s="3">
        <f>IF(AND(L281&gt;0;T281&gt;0);1-T281/L281;"")</f>
        <v/>
      </c>
      <c r="V281" s="3">
        <f>'_Настройки'!$B$4</f>
        <v/>
      </c>
      <c r="Z281" s="4">
        <f>IF(AND(W281&gt;0;X281&gt;0;Y281&gt;0);W281*X281*Y281/1000;"")</f>
        <v/>
      </c>
      <c r="AB281" s="2">
        <f>('_Настройки'!$B$6+MAX(0;Z281-1)*'_Настройки'!$B$7)*IF(AA281&gt;0;AA281;'_Настройки'!$B$10)</f>
        <v/>
      </c>
      <c r="AC281" s="2">
        <f>AB281*(1+'_Настройки'!$B$8)</f>
        <v/>
      </c>
      <c r="AD281" s="3">
        <f>'_Настройки'!$B$2</f>
        <v/>
      </c>
      <c r="AE281" s="2">
        <f>L281*AD281</f>
        <v/>
      </c>
      <c r="AF281" s="3">
        <f>'_Настройки'!$B$3</f>
        <v/>
      </c>
      <c r="AG281" s="3">
        <f>IFERROR(INDEX('_Комиссия_ВБ'!$B:$B;MATCH(C281;'_Комиссия_ВБ'!$A:$A;0));0,245)</f>
        <v/>
      </c>
      <c r="AH281" s="3">
        <f>AG281+AF281</f>
        <v/>
      </c>
      <c r="AI281" s="2">
        <f>L281*AH281</f>
        <v/>
      </c>
      <c r="AJ281" s="3">
        <f>IFERROR(INDEX('_Комиссия_ВБ'!$C:$C;MATCH(C281;'_Комиссия_ВБ'!$A:$A;0));0,28)</f>
        <v/>
      </c>
      <c r="AK281" s="3">
        <f>AJ281+AF281</f>
        <v/>
      </c>
      <c r="AL281" s="2">
        <f>L281*AK281</f>
        <v/>
      </c>
      <c r="AM281" s="2" t="n"/>
      <c r="AO281" s="3">
        <f>'_Настройки'!$B$5</f>
        <v/>
      </c>
      <c r="AP281" s="2">
        <f>IF(K281&gt;0;K281*AO281;0)</f>
        <v/>
      </c>
      <c r="AQ281" s="2">
        <f>L281-K281-AI281-AE281-IF(AM281&gt;0;AM281;'_Настройки'!$B$9)-AP281-AC281</f>
        <v/>
      </c>
      <c r="AR281" s="3">
        <f>IF(L281&gt;0;AQ281/L281;"")</f>
        <v/>
      </c>
      <c r="AS281" s="3">
        <f>IF(K281&gt;0;AQ281/K281;"")</f>
        <v/>
      </c>
      <c r="AT281" s="2">
        <f>L281-K281-AL281-AE281-IF(AM281&gt;0;AM281;'_Настройки'!$B$9)-AP281-AC281</f>
        <v/>
      </c>
      <c r="AU281" s="3">
        <f>IF(L281&gt;0;AT281/L281;"")</f>
        <v/>
      </c>
      <c r="AV281" s="3">
        <f>IF(K281&gt;0;AT281/K281;"")</f>
        <v/>
      </c>
    </row>
    <row r="282">
      <c r="A282">
        <f>ROW()-1</f>
        <v/>
      </c>
      <c r="K282" s="2">
        <f>IFERROR(INDEX('_Цены_закупки'!$B:$B;MATCH(C282;'_Цены_закупки'!$A:$A;0));"")</f>
        <v/>
      </c>
      <c r="L282" s="2" t="n"/>
      <c r="M282" s="2" t="n"/>
      <c r="N282" s="3">
        <f>IF(AND(M282&gt;0;L282&gt;0);1-L282/M282;"")</f>
        <v/>
      </c>
      <c r="O282" s="2">
        <f>IF(OR(Q282="";K282=0);"";(K282+IF(AM282&gt;0;AM282;'_Настройки'!$B$9)+AP282+AC282+Q282*K282)/(1-AH282-AD282))</f>
        <v/>
      </c>
      <c r="P282" s="2">
        <f>IF(O282="";"";O282-K282-O282*AH282-O282*AD282-IF(AM282&gt;0;AM282;'_Настройки'!$B$9)-AP282-AC282)</f>
        <v/>
      </c>
      <c r="Q282" s="3">
        <f>IF(AND(O282&gt;0;K282&gt;0);P282/K282;"")</f>
        <v/>
      </c>
      <c r="R282" s="2">
        <f>IF(O282="";"";O282-K282-O282*AK282-O282*AD282-IF(AM282&gt;0;AM282;'_Настройки'!$B$9)-AP282-AC282)</f>
        <v/>
      </c>
      <c r="S282" s="3">
        <f>IF(AND(O282&gt;0;K282&gt;0);R282/K282;"")</f>
        <v/>
      </c>
      <c r="T282" s="2" t="n"/>
      <c r="U282" s="3">
        <f>IF(AND(L282&gt;0;T282&gt;0);1-T282/L282;"")</f>
        <v/>
      </c>
      <c r="V282" s="3">
        <f>'_Настройки'!$B$4</f>
        <v/>
      </c>
      <c r="Z282" s="4">
        <f>IF(AND(W282&gt;0;X282&gt;0;Y282&gt;0);W282*X282*Y282/1000;"")</f>
        <v/>
      </c>
      <c r="AB282" s="2">
        <f>('_Настройки'!$B$6+MAX(0;Z282-1)*'_Настройки'!$B$7)*IF(AA282&gt;0;AA282;'_Настройки'!$B$10)</f>
        <v/>
      </c>
      <c r="AC282" s="2">
        <f>AB282*(1+'_Настройки'!$B$8)</f>
        <v/>
      </c>
      <c r="AD282" s="3">
        <f>'_Настройки'!$B$2</f>
        <v/>
      </c>
      <c r="AE282" s="2">
        <f>L282*AD282</f>
        <v/>
      </c>
      <c r="AF282" s="3">
        <f>'_Настройки'!$B$3</f>
        <v/>
      </c>
      <c r="AG282" s="3">
        <f>IFERROR(INDEX('_Комиссия_ВБ'!$B:$B;MATCH(C282;'_Комиссия_ВБ'!$A:$A;0));0,245)</f>
        <v/>
      </c>
      <c r="AH282" s="3">
        <f>AG282+AF282</f>
        <v/>
      </c>
      <c r="AI282" s="2">
        <f>L282*AH282</f>
        <v/>
      </c>
      <c r="AJ282" s="3">
        <f>IFERROR(INDEX('_Комиссия_ВБ'!$C:$C;MATCH(C282;'_Комиссия_ВБ'!$A:$A;0));0,28)</f>
        <v/>
      </c>
      <c r="AK282" s="3">
        <f>AJ282+AF282</f>
        <v/>
      </c>
      <c r="AL282" s="2">
        <f>L282*AK282</f>
        <v/>
      </c>
      <c r="AM282" s="2" t="n"/>
      <c r="AO282" s="3">
        <f>'_Настройки'!$B$5</f>
        <v/>
      </c>
      <c r="AP282" s="2">
        <f>IF(K282&gt;0;K282*AO282;0)</f>
        <v/>
      </c>
      <c r="AQ282" s="2">
        <f>L282-K282-AI282-AE282-IF(AM282&gt;0;AM282;'_Настройки'!$B$9)-AP282-AC282</f>
        <v/>
      </c>
      <c r="AR282" s="3">
        <f>IF(L282&gt;0;AQ282/L282;"")</f>
        <v/>
      </c>
      <c r="AS282" s="3">
        <f>IF(K282&gt;0;AQ282/K282;"")</f>
        <v/>
      </c>
      <c r="AT282" s="2">
        <f>L282-K282-AL282-AE282-IF(AM282&gt;0;AM282;'_Настройки'!$B$9)-AP282-AC282</f>
        <v/>
      </c>
      <c r="AU282" s="3">
        <f>IF(L282&gt;0;AT282/L282;"")</f>
        <v/>
      </c>
      <c r="AV282" s="3">
        <f>IF(K282&gt;0;AT282/K282;"")</f>
        <v/>
      </c>
    </row>
    <row r="283">
      <c r="A283">
        <f>ROW()-1</f>
        <v/>
      </c>
      <c r="K283" s="2">
        <f>IFERROR(INDEX('_Цены_закупки'!$B:$B;MATCH(C283;'_Цены_закупки'!$A:$A;0));"")</f>
        <v/>
      </c>
      <c r="L283" s="2" t="n"/>
      <c r="M283" s="2" t="n"/>
      <c r="N283" s="3">
        <f>IF(AND(M283&gt;0;L283&gt;0);1-L283/M283;"")</f>
        <v/>
      </c>
      <c r="O283" s="2">
        <f>IF(OR(Q283="";K283=0);"";(K283+IF(AM283&gt;0;AM283;'_Настройки'!$B$9)+AP283+AC283+Q283*K283)/(1-AH283-AD283))</f>
        <v/>
      </c>
      <c r="P283" s="2">
        <f>IF(O283="";"";O283-K283-O283*AH283-O283*AD283-IF(AM283&gt;0;AM283;'_Настройки'!$B$9)-AP283-AC283)</f>
        <v/>
      </c>
      <c r="Q283" s="3">
        <f>IF(AND(O283&gt;0;K283&gt;0);P283/K283;"")</f>
        <v/>
      </c>
      <c r="R283" s="2">
        <f>IF(O283="";"";O283-K283-O283*AK283-O283*AD283-IF(AM283&gt;0;AM283;'_Настройки'!$B$9)-AP283-AC283)</f>
        <v/>
      </c>
      <c r="S283" s="3">
        <f>IF(AND(O283&gt;0;K283&gt;0);R283/K283;"")</f>
        <v/>
      </c>
      <c r="T283" s="2" t="n"/>
      <c r="U283" s="3">
        <f>IF(AND(L283&gt;0;T283&gt;0);1-T283/L283;"")</f>
        <v/>
      </c>
      <c r="V283" s="3">
        <f>'_Настройки'!$B$4</f>
        <v/>
      </c>
      <c r="Z283" s="4">
        <f>IF(AND(W283&gt;0;X283&gt;0;Y283&gt;0);W283*X283*Y283/1000;"")</f>
        <v/>
      </c>
      <c r="AB283" s="2">
        <f>('_Настройки'!$B$6+MAX(0;Z283-1)*'_Настройки'!$B$7)*IF(AA283&gt;0;AA283;'_Настройки'!$B$10)</f>
        <v/>
      </c>
      <c r="AC283" s="2">
        <f>AB283*(1+'_Настройки'!$B$8)</f>
        <v/>
      </c>
      <c r="AD283" s="3">
        <f>'_Настройки'!$B$2</f>
        <v/>
      </c>
      <c r="AE283" s="2">
        <f>L283*AD283</f>
        <v/>
      </c>
      <c r="AF283" s="3">
        <f>'_Настройки'!$B$3</f>
        <v/>
      </c>
      <c r="AG283" s="3">
        <f>IFERROR(INDEX('_Комиссия_ВБ'!$B:$B;MATCH(C283;'_Комиссия_ВБ'!$A:$A;0));0,245)</f>
        <v/>
      </c>
      <c r="AH283" s="3">
        <f>AG283+AF283</f>
        <v/>
      </c>
      <c r="AI283" s="2">
        <f>L283*AH283</f>
        <v/>
      </c>
      <c r="AJ283" s="3">
        <f>IFERROR(INDEX('_Комиссия_ВБ'!$C:$C;MATCH(C283;'_Комиссия_ВБ'!$A:$A;0));0,28)</f>
        <v/>
      </c>
      <c r="AK283" s="3">
        <f>AJ283+AF283</f>
        <v/>
      </c>
      <c r="AL283" s="2">
        <f>L283*AK283</f>
        <v/>
      </c>
      <c r="AM283" s="2" t="n"/>
      <c r="AO283" s="3">
        <f>'_Настройки'!$B$5</f>
        <v/>
      </c>
      <c r="AP283" s="2">
        <f>IF(K283&gt;0;K283*AO283;0)</f>
        <v/>
      </c>
      <c r="AQ283" s="2">
        <f>L283-K283-AI283-AE283-IF(AM283&gt;0;AM283;'_Настройки'!$B$9)-AP283-AC283</f>
        <v/>
      </c>
      <c r="AR283" s="3">
        <f>IF(L283&gt;0;AQ283/L283;"")</f>
        <v/>
      </c>
      <c r="AS283" s="3">
        <f>IF(K283&gt;0;AQ283/K283;"")</f>
        <v/>
      </c>
      <c r="AT283" s="2">
        <f>L283-K283-AL283-AE283-IF(AM283&gt;0;AM283;'_Настройки'!$B$9)-AP283-AC283</f>
        <v/>
      </c>
      <c r="AU283" s="3">
        <f>IF(L283&gt;0;AT283/L283;"")</f>
        <v/>
      </c>
      <c r="AV283" s="3">
        <f>IF(K283&gt;0;AT283/K283;"")</f>
        <v/>
      </c>
    </row>
    <row r="284">
      <c r="A284">
        <f>ROW()-1</f>
        <v/>
      </c>
      <c r="K284" s="2">
        <f>IFERROR(INDEX('_Цены_закупки'!$B:$B;MATCH(C284;'_Цены_закупки'!$A:$A;0));"")</f>
        <v/>
      </c>
      <c r="L284" s="2" t="n"/>
      <c r="M284" s="2" t="n"/>
      <c r="N284" s="3">
        <f>IF(AND(M284&gt;0;L284&gt;0);1-L284/M284;"")</f>
        <v/>
      </c>
      <c r="O284" s="2">
        <f>IF(OR(Q284="";K284=0);"";(K284+IF(AM284&gt;0;AM284;'_Настройки'!$B$9)+AP284+AC284+Q284*K284)/(1-AH284-AD284))</f>
        <v/>
      </c>
      <c r="P284" s="2">
        <f>IF(O284="";"";O284-K284-O284*AH284-O284*AD284-IF(AM284&gt;0;AM284;'_Настройки'!$B$9)-AP284-AC284)</f>
        <v/>
      </c>
      <c r="Q284" s="3">
        <f>IF(AND(O284&gt;0;K284&gt;0);P284/K284;"")</f>
        <v/>
      </c>
      <c r="R284" s="2">
        <f>IF(O284="";"";O284-K284-O284*AK284-O284*AD284-IF(AM284&gt;0;AM284;'_Настройки'!$B$9)-AP284-AC284)</f>
        <v/>
      </c>
      <c r="S284" s="3">
        <f>IF(AND(O284&gt;0;K284&gt;0);R284/K284;"")</f>
        <v/>
      </c>
      <c r="T284" s="2" t="n"/>
      <c r="U284" s="3">
        <f>IF(AND(L284&gt;0;T284&gt;0);1-T284/L284;"")</f>
        <v/>
      </c>
      <c r="V284" s="3">
        <f>'_Настройки'!$B$4</f>
        <v/>
      </c>
      <c r="Z284" s="4">
        <f>IF(AND(W284&gt;0;X284&gt;0;Y284&gt;0);W284*X284*Y284/1000;"")</f>
        <v/>
      </c>
      <c r="AB284" s="2">
        <f>('_Настройки'!$B$6+MAX(0;Z284-1)*'_Настройки'!$B$7)*IF(AA284&gt;0;AA284;'_Настройки'!$B$10)</f>
        <v/>
      </c>
      <c r="AC284" s="2">
        <f>AB284*(1+'_Настройки'!$B$8)</f>
        <v/>
      </c>
      <c r="AD284" s="3">
        <f>'_Настройки'!$B$2</f>
        <v/>
      </c>
      <c r="AE284" s="2">
        <f>L284*AD284</f>
        <v/>
      </c>
      <c r="AF284" s="3">
        <f>'_Настройки'!$B$3</f>
        <v/>
      </c>
      <c r="AG284" s="3">
        <f>IFERROR(INDEX('_Комиссия_ВБ'!$B:$B;MATCH(C284;'_Комиссия_ВБ'!$A:$A;0));0,245)</f>
        <v/>
      </c>
      <c r="AH284" s="3">
        <f>AG284+AF284</f>
        <v/>
      </c>
      <c r="AI284" s="2">
        <f>L284*AH284</f>
        <v/>
      </c>
      <c r="AJ284" s="3">
        <f>IFERROR(INDEX('_Комиссия_ВБ'!$C:$C;MATCH(C284;'_Комиссия_ВБ'!$A:$A;0));0,28)</f>
        <v/>
      </c>
      <c r="AK284" s="3">
        <f>AJ284+AF284</f>
        <v/>
      </c>
      <c r="AL284" s="2">
        <f>L284*AK284</f>
        <v/>
      </c>
      <c r="AM284" s="2" t="n"/>
      <c r="AO284" s="3">
        <f>'_Настройки'!$B$5</f>
        <v/>
      </c>
      <c r="AP284" s="2">
        <f>IF(K284&gt;0;K284*AO284;0)</f>
        <v/>
      </c>
      <c r="AQ284" s="2">
        <f>L284-K284-AI284-AE284-IF(AM284&gt;0;AM284;'_Настройки'!$B$9)-AP284-AC284</f>
        <v/>
      </c>
      <c r="AR284" s="3">
        <f>IF(L284&gt;0;AQ284/L284;"")</f>
        <v/>
      </c>
      <c r="AS284" s="3">
        <f>IF(K284&gt;0;AQ284/K284;"")</f>
        <v/>
      </c>
      <c r="AT284" s="2">
        <f>L284-K284-AL284-AE284-IF(AM284&gt;0;AM284;'_Настройки'!$B$9)-AP284-AC284</f>
        <v/>
      </c>
      <c r="AU284" s="3">
        <f>IF(L284&gt;0;AT284/L284;"")</f>
        <v/>
      </c>
      <c r="AV284" s="3">
        <f>IF(K284&gt;0;AT284/K284;"")</f>
        <v/>
      </c>
    </row>
    <row r="285">
      <c r="A285">
        <f>ROW()-1</f>
        <v/>
      </c>
      <c r="K285" s="2">
        <f>IFERROR(INDEX('_Цены_закупки'!$B:$B;MATCH(C285;'_Цены_закупки'!$A:$A;0));"")</f>
        <v/>
      </c>
      <c r="L285" s="2" t="n"/>
      <c r="M285" s="2" t="n"/>
      <c r="N285" s="3">
        <f>IF(AND(M285&gt;0;L285&gt;0);1-L285/M285;"")</f>
        <v/>
      </c>
      <c r="O285" s="2">
        <f>IF(OR(Q285="";K285=0);"";(K285+IF(AM285&gt;0;AM285;'_Настройки'!$B$9)+AP285+AC285+Q285*K285)/(1-AH285-AD285))</f>
        <v/>
      </c>
      <c r="P285" s="2">
        <f>IF(O285="";"";O285-K285-O285*AH285-O285*AD285-IF(AM285&gt;0;AM285;'_Настройки'!$B$9)-AP285-AC285)</f>
        <v/>
      </c>
      <c r="Q285" s="3">
        <f>IF(AND(O285&gt;0;K285&gt;0);P285/K285;"")</f>
        <v/>
      </c>
      <c r="R285" s="2">
        <f>IF(O285="";"";O285-K285-O285*AK285-O285*AD285-IF(AM285&gt;0;AM285;'_Настройки'!$B$9)-AP285-AC285)</f>
        <v/>
      </c>
      <c r="S285" s="3">
        <f>IF(AND(O285&gt;0;K285&gt;0);R285/K285;"")</f>
        <v/>
      </c>
      <c r="T285" s="2" t="n"/>
      <c r="U285" s="3">
        <f>IF(AND(L285&gt;0;T285&gt;0);1-T285/L285;"")</f>
        <v/>
      </c>
      <c r="V285" s="3">
        <f>'_Настройки'!$B$4</f>
        <v/>
      </c>
      <c r="Z285" s="4">
        <f>IF(AND(W285&gt;0;X285&gt;0;Y285&gt;0);W285*X285*Y285/1000;"")</f>
        <v/>
      </c>
      <c r="AB285" s="2">
        <f>('_Настройки'!$B$6+MAX(0;Z285-1)*'_Настройки'!$B$7)*IF(AA285&gt;0;AA285;'_Настройки'!$B$10)</f>
        <v/>
      </c>
      <c r="AC285" s="2">
        <f>AB285*(1+'_Настройки'!$B$8)</f>
        <v/>
      </c>
      <c r="AD285" s="3">
        <f>'_Настройки'!$B$2</f>
        <v/>
      </c>
      <c r="AE285" s="2">
        <f>L285*AD285</f>
        <v/>
      </c>
      <c r="AF285" s="3">
        <f>'_Настройки'!$B$3</f>
        <v/>
      </c>
      <c r="AG285" s="3">
        <f>IFERROR(INDEX('_Комиссия_ВБ'!$B:$B;MATCH(C285;'_Комиссия_ВБ'!$A:$A;0));0,245)</f>
        <v/>
      </c>
      <c r="AH285" s="3">
        <f>AG285+AF285</f>
        <v/>
      </c>
      <c r="AI285" s="2">
        <f>L285*AH285</f>
        <v/>
      </c>
      <c r="AJ285" s="3">
        <f>IFERROR(INDEX('_Комиссия_ВБ'!$C:$C;MATCH(C285;'_Комиссия_ВБ'!$A:$A;0));0,28)</f>
        <v/>
      </c>
      <c r="AK285" s="3">
        <f>AJ285+AF285</f>
        <v/>
      </c>
      <c r="AL285" s="2">
        <f>L285*AK285</f>
        <v/>
      </c>
      <c r="AM285" s="2" t="n"/>
      <c r="AO285" s="3">
        <f>'_Настройки'!$B$5</f>
        <v/>
      </c>
      <c r="AP285" s="2">
        <f>IF(K285&gt;0;K285*AO285;0)</f>
        <v/>
      </c>
      <c r="AQ285" s="2">
        <f>L285-K285-AI285-AE285-IF(AM285&gt;0;AM285;'_Настройки'!$B$9)-AP285-AC285</f>
        <v/>
      </c>
      <c r="AR285" s="3">
        <f>IF(L285&gt;0;AQ285/L285;"")</f>
        <v/>
      </c>
      <c r="AS285" s="3">
        <f>IF(K285&gt;0;AQ285/K285;"")</f>
        <v/>
      </c>
      <c r="AT285" s="2">
        <f>L285-K285-AL285-AE285-IF(AM285&gt;0;AM285;'_Настройки'!$B$9)-AP285-AC285</f>
        <v/>
      </c>
      <c r="AU285" s="3">
        <f>IF(L285&gt;0;AT285/L285;"")</f>
        <v/>
      </c>
      <c r="AV285" s="3">
        <f>IF(K285&gt;0;AT285/K285;"")</f>
        <v/>
      </c>
    </row>
    <row r="286">
      <c r="A286">
        <f>ROW()-1</f>
        <v/>
      </c>
      <c r="K286" s="2">
        <f>IFERROR(INDEX('_Цены_закупки'!$B:$B;MATCH(C286;'_Цены_закупки'!$A:$A;0));"")</f>
        <v/>
      </c>
      <c r="L286" s="2" t="n"/>
      <c r="M286" s="2" t="n"/>
      <c r="N286" s="3">
        <f>IF(AND(M286&gt;0;L286&gt;0);1-L286/M286;"")</f>
        <v/>
      </c>
      <c r="O286" s="2">
        <f>IF(OR(Q286="";K286=0);"";(K286+IF(AM286&gt;0;AM286;'_Настройки'!$B$9)+AP286+AC286+Q286*K286)/(1-AH286-AD286))</f>
        <v/>
      </c>
      <c r="P286" s="2">
        <f>IF(O286="";"";O286-K286-O286*AH286-O286*AD286-IF(AM286&gt;0;AM286;'_Настройки'!$B$9)-AP286-AC286)</f>
        <v/>
      </c>
      <c r="Q286" s="3">
        <f>IF(AND(O286&gt;0;K286&gt;0);P286/K286;"")</f>
        <v/>
      </c>
      <c r="R286" s="2">
        <f>IF(O286="";"";O286-K286-O286*AK286-O286*AD286-IF(AM286&gt;0;AM286;'_Настройки'!$B$9)-AP286-AC286)</f>
        <v/>
      </c>
      <c r="S286" s="3">
        <f>IF(AND(O286&gt;0;K286&gt;0);R286/K286;"")</f>
        <v/>
      </c>
      <c r="T286" s="2" t="n"/>
      <c r="U286" s="3">
        <f>IF(AND(L286&gt;0;T286&gt;0);1-T286/L286;"")</f>
        <v/>
      </c>
      <c r="V286" s="3">
        <f>'_Настройки'!$B$4</f>
        <v/>
      </c>
      <c r="Z286" s="4">
        <f>IF(AND(W286&gt;0;X286&gt;0;Y286&gt;0);W286*X286*Y286/1000;"")</f>
        <v/>
      </c>
      <c r="AB286" s="2">
        <f>('_Настройки'!$B$6+MAX(0;Z286-1)*'_Настройки'!$B$7)*IF(AA286&gt;0;AA286;'_Настройки'!$B$10)</f>
        <v/>
      </c>
      <c r="AC286" s="2">
        <f>AB286*(1+'_Настройки'!$B$8)</f>
        <v/>
      </c>
      <c r="AD286" s="3">
        <f>'_Настройки'!$B$2</f>
        <v/>
      </c>
      <c r="AE286" s="2">
        <f>L286*AD286</f>
        <v/>
      </c>
      <c r="AF286" s="3">
        <f>'_Настройки'!$B$3</f>
        <v/>
      </c>
      <c r="AG286" s="3">
        <f>IFERROR(INDEX('_Комиссия_ВБ'!$B:$B;MATCH(C286;'_Комиссия_ВБ'!$A:$A;0));0,245)</f>
        <v/>
      </c>
      <c r="AH286" s="3">
        <f>AG286+AF286</f>
        <v/>
      </c>
      <c r="AI286" s="2">
        <f>L286*AH286</f>
        <v/>
      </c>
      <c r="AJ286" s="3">
        <f>IFERROR(INDEX('_Комиссия_ВБ'!$C:$C;MATCH(C286;'_Комиссия_ВБ'!$A:$A;0));0,28)</f>
        <v/>
      </c>
      <c r="AK286" s="3">
        <f>AJ286+AF286</f>
        <v/>
      </c>
      <c r="AL286" s="2">
        <f>L286*AK286</f>
        <v/>
      </c>
      <c r="AM286" s="2" t="n"/>
      <c r="AO286" s="3">
        <f>'_Настройки'!$B$5</f>
        <v/>
      </c>
      <c r="AP286" s="2">
        <f>IF(K286&gt;0;K286*AO286;0)</f>
        <v/>
      </c>
      <c r="AQ286" s="2">
        <f>L286-K286-AI286-AE286-IF(AM286&gt;0;AM286;'_Настройки'!$B$9)-AP286-AC286</f>
        <v/>
      </c>
      <c r="AR286" s="3">
        <f>IF(L286&gt;0;AQ286/L286;"")</f>
        <v/>
      </c>
      <c r="AS286" s="3">
        <f>IF(K286&gt;0;AQ286/K286;"")</f>
        <v/>
      </c>
      <c r="AT286" s="2">
        <f>L286-K286-AL286-AE286-IF(AM286&gt;0;AM286;'_Настройки'!$B$9)-AP286-AC286</f>
        <v/>
      </c>
      <c r="AU286" s="3">
        <f>IF(L286&gt;0;AT286/L286;"")</f>
        <v/>
      </c>
      <c r="AV286" s="3">
        <f>IF(K286&gt;0;AT286/K286;"")</f>
        <v/>
      </c>
    </row>
    <row r="287">
      <c r="A287">
        <f>ROW()-1</f>
        <v/>
      </c>
      <c r="K287" s="2">
        <f>IFERROR(INDEX('_Цены_закупки'!$B:$B;MATCH(C287;'_Цены_закупки'!$A:$A;0));"")</f>
        <v/>
      </c>
      <c r="L287" s="2" t="n"/>
      <c r="M287" s="2" t="n"/>
      <c r="N287" s="3">
        <f>IF(AND(M287&gt;0;L287&gt;0);1-L287/M287;"")</f>
        <v/>
      </c>
      <c r="O287" s="2">
        <f>IF(OR(Q287="";K287=0);"";(K287+IF(AM287&gt;0;AM287;'_Настройки'!$B$9)+AP287+AC287+Q287*K287)/(1-AH287-AD287))</f>
        <v/>
      </c>
      <c r="P287" s="2">
        <f>IF(O287="";"";O287-K287-O287*AH287-O287*AD287-IF(AM287&gt;0;AM287;'_Настройки'!$B$9)-AP287-AC287)</f>
        <v/>
      </c>
      <c r="Q287" s="3">
        <f>IF(AND(O287&gt;0;K287&gt;0);P287/K287;"")</f>
        <v/>
      </c>
      <c r="R287" s="2">
        <f>IF(O287="";"";O287-K287-O287*AK287-O287*AD287-IF(AM287&gt;0;AM287;'_Настройки'!$B$9)-AP287-AC287)</f>
        <v/>
      </c>
      <c r="S287" s="3">
        <f>IF(AND(O287&gt;0;K287&gt;0);R287/K287;"")</f>
        <v/>
      </c>
      <c r="T287" s="2" t="n"/>
      <c r="U287" s="3">
        <f>IF(AND(L287&gt;0;T287&gt;0);1-T287/L287;"")</f>
        <v/>
      </c>
      <c r="V287" s="3">
        <f>'_Настройки'!$B$4</f>
        <v/>
      </c>
      <c r="Z287" s="4">
        <f>IF(AND(W287&gt;0;X287&gt;0;Y287&gt;0);W287*X287*Y287/1000;"")</f>
        <v/>
      </c>
      <c r="AB287" s="2">
        <f>('_Настройки'!$B$6+MAX(0;Z287-1)*'_Настройки'!$B$7)*IF(AA287&gt;0;AA287;'_Настройки'!$B$10)</f>
        <v/>
      </c>
      <c r="AC287" s="2">
        <f>AB287*(1+'_Настройки'!$B$8)</f>
        <v/>
      </c>
      <c r="AD287" s="3">
        <f>'_Настройки'!$B$2</f>
        <v/>
      </c>
      <c r="AE287" s="2">
        <f>L287*AD287</f>
        <v/>
      </c>
      <c r="AF287" s="3">
        <f>'_Настройки'!$B$3</f>
        <v/>
      </c>
      <c r="AG287" s="3">
        <f>IFERROR(INDEX('_Комиссия_ВБ'!$B:$B;MATCH(C287;'_Комиссия_ВБ'!$A:$A;0));0,245)</f>
        <v/>
      </c>
      <c r="AH287" s="3">
        <f>AG287+AF287</f>
        <v/>
      </c>
      <c r="AI287" s="2">
        <f>L287*AH287</f>
        <v/>
      </c>
      <c r="AJ287" s="3">
        <f>IFERROR(INDEX('_Комиссия_ВБ'!$C:$C;MATCH(C287;'_Комиссия_ВБ'!$A:$A;0));0,28)</f>
        <v/>
      </c>
      <c r="AK287" s="3">
        <f>AJ287+AF287</f>
        <v/>
      </c>
      <c r="AL287" s="2">
        <f>L287*AK287</f>
        <v/>
      </c>
      <c r="AM287" s="2" t="n"/>
      <c r="AO287" s="3">
        <f>'_Настройки'!$B$5</f>
        <v/>
      </c>
      <c r="AP287" s="2">
        <f>IF(K287&gt;0;K287*AO287;0)</f>
        <v/>
      </c>
      <c r="AQ287" s="2">
        <f>L287-K287-AI287-AE287-IF(AM287&gt;0;AM287;'_Настройки'!$B$9)-AP287-AC287</f>
        <v/>
      </c>
      <c r="AR287" s="3">
        <f>IF(L287&gt;0;AQ287/L287;"")</f>
        <v/>
      </c>
      <c r="AS287" s="3">
        <f>IF(K287&gt;0;AQ287/K287;"")</f>
        <v/>
      </c>
      <c r="AT287" s="2">
        <f>L287-K287-AL287-AE287-IF(AM287&gt;0;AM287;'_Настройки'!$B$9)-AP287-AC287</f>
        <v/>
      </c>
      <c r="AU287" s="3">
        <f>IF(L287&gt;0;AT287/L287;"")</f>
        <v/>
      </c>
      <c r="AV287" s="3">
        <f>IF(K287&gt;0;AT287/K287;"")</f>
        <v/>
      </c>
    </row>
    <row r="288">
      <c r="A288">
        <f>ROW()-1</f>
        <v/>
      </c>
      <c r="K288" s="2">
        <f>IFERROR(INDEX('_Цены_закупки'!$B:$B;MATCH(C288;'_Цены_закупки'!$A:$A;0));"")</f>
        <v/>
      </c>
      <c r="L288" s="2" t="n"/>
      <c r="M288" s="2" t="n"/>
      <c r="N288" s="3">
        <f>IF(AND(M288&gt;0;L288&gt;0);1-L288/M288;"")</f>
        <v/>
      </c>
      <c r="O288" s="2">
        <f>IF(OR(Q288="";K288=0);"";(K288+IF(AM288&gt;0;AM288;'_Настройки'!$B$9)+AP288+AC288+Q288*K288)/(1-AH288-AD288))</f>
        <v/>
      </c>
      <c r="P288" s="2">
        <f>IF(O288="";"";O288-K288-O288*AH288-O288*AD288-IF(AM288&gt;0;AM288;'_Настройки'!$B$9)-AP288-AC288)</f>
        <v/>
      </c>
      <c r="Q288" s="3">
        <f>IF(AND(O288&gt;0;K288&gt;0);P288/K288;"")</f>
        <v/>
      </c>
      <c r="R288" s="2">
        <f>IF(O288="";"";O288-K288-O288*AK288-O288*AD288-IF(AM288&gt;0;AM288;'_Настройки'!$B$9)-AP288-AC288)</f>
        <v/>
      </c>
      <c r="S288" s="3">
        <f>IF(AND(O288&gt;0;K288&gt;0);R288/K288;"")</f>
        <v/>
      </c>
      <c r="T288" s="2" t="n"/>
      <c r="U288" s="3">
        <f>IF(AND(L288&gt;0;T288&gt;0);1-T288/L288;"")</f>
        <v/>
      </c>
      <c r="V288" s="3">
        <f>'_Настройки'!$B$4</f>
        <v/>
      </c>
      <c r="Z288" s="4">
        <f>IF(AND(W288&gt;0;X288&gt;0;Y288&gt;0);W288*X288*Y288/1000;"")</f>
        <v/>
      </c>
      <c r="AB288" s="2">
        <f>('_Настройки'!$B$6+MAX(0;Z288-1)*'_Настройки'!$B$7)*IF(AA288&gt;0;AA288;'_Настройки'!$B$10)</f>
        <v/>
      </c>
      <c r="AC288" s="2">
        <f>AB288*(1+'_Настройки'!$B$8)</f>
        <v/>
      </c>
      <c r="AD288" s="3">
        <f>'_Настройки'!$B$2</f>
        <v/>
      </c>
      <c r="AE288" s="2">
        <f>L288*AD288</f>
        <v/>
      </c>
      <c r="AF288" s="3">
        <f>'_Настройки'!$B$3</f>
        <v/>
      </c>
      <c r="AG288" s="3">
        <f>IFERROR(INDEX('_Комиссия_ВБ'!$B:$B;MATCH(C288;'_Комиссия_ВБ'!$A:$A;0));0,245)</f>
        <v/>
      </c>
      <c r="AH288" s="3">
        <f>AG288+AF288</f>
        <v/>
      </c>
      <c r="AI288" s="2">
        <f>L288*AH288</f>
        <v/>
      </c>
      <c r="AJ288" s="3">
        <f>IFERROR(INDEX('_Комиссия_ВБ'!$C:$C;MATCH(C288;'_Комиссия_ВБ'!$A:$A;0));0,28)</f>
        <v/>
      </c>
      <c r="AK288" s="3">
        <f>AJ288+AF288</f>
        <v/>
      </c>
      <c r="AL288" s="2">
        <f>L288*AK288</f>
        <v/>
      </c>
      <c r="AM288" s="2" t="n"/>
      <c r="AO288" s="3">
        <f>'_Настройки'!$B$5</f>
        <v/>
      </c>
      <c r="AP288" s="2">
        <f>IF(K288&gt;0;K288*AO288;0)</f>
        <v/>
      </c>
      <c r="AQ288" s="2">
        <f>L288-K288-AI288-AE288-IF(AM288&gt;0;AM288;'_Настройки'!$B$9)-AP288-AC288</f>
        <v/>
      </c>
      <c r="AR288" s="3">
        <f>IF(L288&gt;0;AQ288/L288;"")</f>
        <v/>
      </c>
      <c r="AS288" s="3">
        <f>IF(K288&gt;0;AQ288/K288;"")</f>
        <v/>
      </c>
      <c r="AT288" s="2">
        <f>L288-K288-AL288-AE288-IF(AM288&gt;0;AM288;'_Настройки'!$B$9)-AP288-AC288</f>
        <v/>
      </c>
      <c r="AU288" s="3">
        <f>IF(L288&gt;0;AT288/L288;"")</f>
        <v/>
      </c>
      <c r="AV288" s="3">
        <f>IF(K288&gt;0;AT288/K288;"")</f>
        <v/>
      </c>
    </row>
    <row r="289">
      <c r="A289">
        <f>ROW()-1</f>
        <v/>
      </c>
      <c r="K289" s="2">
        <f>IFERROR(INDEX('_Цены_закупки'!$B:$B;MATCH(C289;'_Цены_закупки'!$A:$A;0));"")</f>
        <v/>
      </c>
      <c r="L289" s="2" t="n"/>
      <c r="M289" s="2" t="n"/>
      <c r="N289" s="3">
        <f>IF(AND(M289&gt;0;L289&gt;0);1-L289/M289;"")</f>
        <v/>
      </c>
      <c r="O289" s="2">
        <f>IF(OR(Q289="";K289=0);"";(K289+IF(AM289&gt;0;AM289;'_Настройки'!$B$9)+AP289+AC289+Q289*K289)/(1-AH289-AD289))</f>
        <v/>
      </c>
      <c r="P289" s="2">
        <f>IF(O289="";"";O289-K289-O289*AH289-O289*AD289-IF(AM289&gt;0;AM289;'_Настройки'!$B$9)-AP289-AC289)</f>
        <v/>
      </c>
      <c r="Q289" s="3">
        <f>IF(AND(O289&gt;0;K289&gt;0);P289/K289;"")</f>
        <v/>
      </c>
      <c r="R289" s="2">
        <f>IF(O289="";"";O289-K289-O289*AK289-O289*AD289-IF(AM289&gt;0;AM289;'_Настройки'!$B$9)-AP289-AC289)</f>
        <v/>
      </c>
      <c r="S289" s="3">
        <f>IF(AND(O289&gt;0;K289&gt;0);R289/K289;"")</f>
        <v/>
      </c>
      <c r="T289" s="2" t="n"/>
      <c r="U289" s="3">
        <f>IF(AND(L289&gt;0;T289&gt;0);1-T289/L289;"")</f>
        <v/>
      </c>
      <c r="V289" s="3">
        <f>'_Настройки'!$B$4</f>
        <v/>
      </c>
      <c r="Z289" s="4">
        <f>IF(AND(W289&gt;0;X289&gt;0;Y289&gt;0);W289*X289*Y289/1000;"")</f>
        <v/>
      </c>
      <c r="AB289" s="2">
        <f>('_Настройки'!$B$6+MAX(0;Z289-1)*'_Настройки'!$B$7)*IF(AA289&gt;0;AA289;'_Настройки'!$B$10)</f>
        <v/>
      </c>
      <c r="AC289" s="2">
        <f>AB289*(1+'_Настройки'!$B$8)</f>
        <v/>
      </c>
      <c r="AD289" s="3">
        <f>'_Настройки'!$B$2</f>
        <v/>
      </c>
      <c r="AE289" s="2">
        <f>L289*AD289</f>
        <v/>
      </c>
      <c r="AF289" s="3">
        <f>'_Настройки'!$B$3</f>
        <v/>
      </c>
      <c r="AG289" s="3">
        <f>IFERROR(INDEX('_Комиссия_ВБ'!$B:$B;MATCH(C289;'_Комиссия_ВБ'!$A:$A;0));0,245)</f>
        <v/>
      </c>
      <c r="AH289" s="3">
        <f>AG289+AF289</f>
        <v/>
      </c>
      <c r="AI289" s="2">
        <f>L289*AH289</f>
        <v/>
      </c>
      <c r="AJ289" s="3">
        <f>IFERROR(INDEX('_Комиссия_ВБ'!$C:$C;MATCH(C289;'_Комиссия_ВБ'!$A:$A;0));0,28)</f>
        <v/>
      </c>
      <c r="AK289" s="3">
        <f>AJ289+AF289</f>
        <v/>
      </c>
      <c r="AL289" s="2">
        <f>L289*AK289</f>
        <v/>
      </c>
      <c r="AM289" s="2" t="n"/>
      <c r="AO289" s="3">
        <f>'_Настройки'!$B$5</f>
        <v/>
      </c>
      <c r="AP289" s="2">
        <f>IF(K289&gt;0;K289*AO289;0)</f>
        <v/>
      </c>
      <c r="AQ289" s="2">
        <f>L289-K289-AI289-AE289-IF(AM289&gt;0;AM289;'_Настройки'!$B$9)-AP289-AC289</f>
        <v/>
      </c>
      <c r="AR289" s="3">
        <f>IF(L289&gt;0;AQ289/L289;"")</f>
        <v/>
      </c>
      <c r="AS289" s="3">
        <f>IF(K289&gt;0;AQ289/K289;"")</f>
        <v/>
      </c>
      <c r="AT289" s="2">
        <f>L289-K289-AL289-AE289-IF(AM289&gt;0;AM289;'_Настройки'!$B$9)-AP289-AC289</f>
        <v/>
      </c>
      <c r="AU289" s="3">
        <f>IF(L289&gt;0;AT289/L289;"")</f>
        <v/>
      </c>
      <c r="AV289" s="3">
        <f>IF(K289&gt;0;AT289/K289;"")</f>
        <v/>
      </c>
    </row>
    <row r="290">
      <c r="A290">
        <f>ROW()-1</f>
        <v/>
      </c>
      <c r="K290" s="2">
        <f>IFERROR(INDEX('_Цены_закупки'!$B:$B;MATCH(C290;'_Цены_закупки'!$A:$A;0));"")</f>
        <v/>
      </c>
      <c r="L290" s="2" t="n"/>
      <c r="M290" s="2" t="n"/>
      <c r="N290" s="3">
        <f>IF(AND(M290&gt;0;L290&gt;0);1-L290/M290;"")</f>
        <v/>
      </c>
      <c r="O290" s="2">
        <f>IF(OR(Q290="";K290=0);"";(K290+IF(AM290&gt;0;AM290;'_Настройки'!$B$9)+AP290+AC290+Q290*K290)/(1-AH290-AD290))</f>
        <v/>
      </c>
      <c r="P290" s="2">
        <f>IF(O290="";"";O290-K290-O290*AH290-O290*AD290-IF(AM290&gt;0;AM290;'_Настройки'!$B$9)-AP290-AC290)</f>
        <v/>
      </c>
      <c r="Q290" s="3">
        <f>IF(AND(O290&gt;0;K290&gt;0);P290/K290;"")</f>
        <v/>
      </c>
      <c r="R290" s="2">
        <f>IF(O290="";"";O290-K290-O290*AK290-O290*AD290-IF(AM290&gt;0;AM290;'_Настройки'!$B$9)-AP290-AC290)</f>
        <v/>
      </c>
      <c r="S290" s="3">
        <f>IF(AND(O290&gt;0;K290&gt;0);R290/K290;"")</f>
        <v/>
      </c>
      <c r="T290" s="2" t="n"/>
      <c r="U290" s="3">
        <f>IF(AND(L290&gt;0;T290&gt;0);1-T290/L290;"")</f>
        <v/>
      </c>
      <c r="V290" s="3">
        <f>'_Настройки'!$B$4</f>
        <v/>
      </c>
      <c r="Z290" s="4">
        <f>IF(AND(W290&gt;0;X290&gt;0;Y290&gt;0);W290*X290*Y290/1000;"")</f>
        <v/>
      </c>
      <c r="AB290" s="2">
        <f>('_Настройки'!$B$6+MAX(0;Z290-1)*'_Настройки'!$B$7)*IF(AA290&gt;0;AA290;'_Настройки'!$B$10)</f>
        <v/>
      </c>
      <c r="AC290" s="2">
        <f>AB290*(1+'_Настройки'!$B$8)</f>
        <v/>
      </c>
      <c r="AD290" s="3">
        <f>'_Настройки'!$B$2</f>
        <v/>
      </c>
      <c r="AE290" s="2">
        <f>L290*AD290</f>
        <v/>
      </c>
      <c r="AF290" s="3">
        <f>'_Настройки'!$B$3</f>
        <v/>
      </c>
      <c r="AG290" s="3">
        <f>IFERROR(INDEX('_Комиссия_ВБ'!$B:$B;MATCH(C290;'_Комиссия_ВБ'!$A:$A;0));0,245)</f>
        <v/>
      </c>
      <c r="AH290" s="3">
        <f>AG290+AF290</f>
        <v/>
      </c>
      <c r="AI290" s="2">
        <f>L290*AH290</f>
        <v/>
      </c>
      <c r="AJ290" s="3">
        <f>IFERROR(INDEX('_Комиссия_ВБ'!$C:$C;MATCH(C290;'_Комиссия_ВБ'!$A:$A;0));0,28)</f>
        <v/>
      </c>
      <c r="AK290" s="3">
        <f>AJ290+AF290</f>
        <v/>
      </c>
      <c r="AL290" s="2">
        <f>L290*AK290</f>
        <v/>
      </c>
      <c r="AM290" s="2" t="n"/>
      <c r="AO290" s="3">
        <f>'_Настройки'!$B$5</f>
        <v/>
      </c>
      <c r="AP290" s="2">
        <f>IF(K290&gt;0;K290*AO290;0)</f>
        <v/>
      </c>
      <c r="AQ290" s="2">
        <f>L290-K290-AI290-AE290-IF(AM290&gt;0;AM290;'_Настройки'!$B$9)-AP290-AC290</f>
        <v/>
      </c>
      <c r="AR290" s="3">
        <f>IF(L290&gt;0;AQ290/L290;"")</f>
        <v/>
      </c>
      <c r="AS290" s="3">
        <f>IF(K290&gt;0;AQ290/K290;"")</f>
        <v/>
      </c>
      <c r="AT290" s="2">
        <f>L290-K290-AL290-AE290-IF(AM290&gt;0;AM290;'_Настройки'!$B$9)-AP290-AC290</f>
        <v/>
      </c>
      <c r="AU290" s="3">
        <f>IF(L290&gt;0;AT290/L290;"")</f>
        <v/>
      </c>
      <c r="AV290" s="3">
        <f>IF(K290&gt;0;AT290/K290;"")</f>
        <v/>
      </c>
    </row>
    <row r="291">
      <c r="A291">
        <f>ROW()-1</f>
        <v/>
      </c>
      <c r="K291" s="2">
        <f>IFERROR(INDEX('_Цены_закупки'!$B:$B;MATCH(C291;'_Цены_закупки'!$A:$A;0));"")</f>
        <v/>
      </c>
      <c r="L291" s="2" t="n"/>
      <c r="M291" s="2" t="n"/>
      <c r="N291" s="3">
        <f>IF(AND(M291&gt;0;L291&gt;0);1-L291/M291;"")</f>
        <v/>
      </c>
      <c r="O291" s="2">
        <f>IF(OR(Q291="";K291=0);"";(K291+IF(AM291&gt;0;AM291;'_Настройки'!$B$9)+AP291+AC291+Q291*K291)/(1-AH291-AD291))</f>
        <v/>
      </c>
      <c r="P291" s="2">
        <f>IF(O291="";"";O291-K291-O291*AH291-O291*AD291-IF(AM291&gt;0;AM291;'_Настройки'!$B$9)-AP291-AC291)</f>
        <v/>
      </c>
      <c r="Q291" s="3">
        <f>IF(AND(O291&gt;0;K291&gt;0);P291/K291;"")</f>
        <v/>
      </c>
      <c r="R291" s="2">
        <f>IF(O291="";"";O291-K291-O291*AK291-O291*AD291-IF(AM291&gt;0;AM291;'_Настройки'!$B$9)-AP291-AC291)</f>
        <v/>
      </c>
      <c r="S291" s="3">
        <f>IF(AND(O291&gt;0;K291&gt;0);R291/K291;"")</f>
        <v/>
      </c>
      <c r="T291" s="2" t="n"/>
      <c r="U291" s="3">
        <f>IF(AND(L291&gt;0;T291&gt;0);1-T291/L291;"")</f>
        <v/>
      </c>
      <c r="V291" s="3">
        <f>'_Настройки'!$B$4</f>
        <v/>
      </c>
      <c r="Z291" s="4">
        <f>IF(AND(W291&gt;0;X291&gt;0;Y291&gt;0);W291*X291*Y291/1000;"")</f>
        <v/>
      </c>
      <c r="AB291" s="2">
        <f>('_Настройки'!$B$6+MAX(0;Z291-1)*'_Настройки'!$B$7)*IF(AA291&gt;0;AA291;'_Настройки'!$B$10)</f>
        <v/>
      </c>
      <c r="AC291" s="2">
        <f>AB291*(1+'_Настройки'!$B$8)</f>
        <v/>
      </c>
      <c r="AD291" s="3">
        <f>'_Настройки'!$B$2</f>
        <v/>
      </c>
      <c r="AE291" s="2">
        <f>L291*AD291</f>
        <v/>
      </c>
      <c r="AF291" s="3">
        <f>'_Настройки'!$B$3</f>
        <v/>
      </c>
      <c r="AG291" s="3">
        <f>IFERROR(INDEX('_Комиссия_ВБ'!$B:$B;MATCH(C291;'_Комиссия_ВБ'!$A:$A;0));0,245)</f>
        <v/>
      </c>
      <c r="AH291" s="3">
        <f>AG291+AF291</f>
        <v/>
      </c>
      <c r="AI291" s="2">
        <f>L291*AH291</f>
        <v/>
      </c>
      <c r="AJ291" s="3">
        <f>IFERROR(INDEX('_Комиссия_ВБ'!$C:$C;MATCH(C291;'_Комиссия_ВБ'!$A:$A;0));0,28)</f>
        <v/>
      </c>
      <c r="AK291" s="3">
        <f>AJ291+AF291</f>
        <v/>
      </c>
      <c r="AL291" s="2">
        <f>L291*AK291</f>
        <v/>
      </c>
      <c r="AM291" s="2" t="n"/>
      <c r="AO291" s="3">
        <f>'_Настройки'!$B$5</f>
        <v/>
      </c>
      <c r="AP291" s="2">
        <f>IF(K291&gt;0;K291*AO291;0)</f>
        <v/>
      </c>
      <c r="AQ291" s="2">
        <f>L291-K291-AI291-AE291-IF(AM291&gt;0;AM291;'_Настройки'!$B$9)-AP291-AC291</f>
        <v/>
      </c>
      <c r="AR291" s="3">
        <f>IF(L291&gt;0;AQ291/L291;"")</f>
        <v/>
      </c>
      <c r="AS291" s="3">
        <f>IF(K291&gt;0;AQ291/K291;"")</f>
        <v/>
      </c>
      <c r="AT291" s="2">
        <f>L291-K291-AL291-AE291-IF(AM291&gt;0;AM291;'_Настройки'!$B$9)-AP291-AC291</f>
        <v/>
      </c>
      <c r="AU291" s="3">
        <f>IF(L291&gt;0;AT291/L291;"")</f>
        <v/>
      </c>
      <c r="AV291" s="3">
        <f>IF(K291&gt;0;AT291/K291;"")</f>
        <v/>
      </c>
    </row>
    <row r="292">
      <c r="A292">
        <f>ROW()-1</f>
        <v/>
      </c>
      <c r="K292" s="2">
        <f>IFERROR(INDEX('_Цены_закупки'!$B:$B;MATCH(C292;'_Цены_закупки'!$A:$A;0));"")</f>
        <v/>
      </c>
      <c r="L292" s="2" t="n"/>
      <c r="M292" s="2" t="n"/>
      <c r="N292" s="3">
        <f>IF(AND(M292&gt;0;L292&gt;0);1-L292/M292;"")</f>
        <v/>
      </c>
      <c r="O292" s="2">
        <f>IF(OR(Q292="";K292=0);"";(K292+IF(AM292&gt;0;AM292;'_Настройки'!$B$9)+AP292+AC292+Q292*K292)/(1-AH292-AD292))</f>
        <v/>
      </c>
      <c r="P292" s="2">
        <f>IF(O292="";"";O292-K292-O292*AH292-O292*AD292-IF(AM292&gt;0;AM292;'_Настройки'!$B$9)-AP292-AC292)</f>
        <v/>
      </c>
      <c r="Q292" s="3">
        <f>IF(AND(O292&gt;0;K292&gt;0);P292/K292;"")</f>
        <v/>
      </c>
      <c r="R292" s="2">
        <f>IF(O292="";"";O292-K292-O292*AK292-O292*AD292-IF(AM292&gt;0;AM292;'_Настройки'!$B$9)-AP292-AC292)</f>
        <v/>
      </c>
      <c r="S292" s="3">
        <f>IF(AND(O292&gt;0;K292&gt;0);R292/K292;"")</f>
        <v/>
      </c>
      <c r="T292" s="2" t="n"/>
      <c r="U292" s="3">
        <f>IF(AND(L292&gt;0;T292&gt;0);1-T292/L292;"")</f>
        <v/>
      </c>
      <c r="V292" s="3">
        <f>'_Настройки'!$B$4</f>
        <v/>
      </c>
      <c r="Z292" s="4">
        <f>IF(AND(W292&gt;0;X292&gt;0;Y292&gt;0);W292*X292*Y292/1000;"")</f>
        <v/>
      </c>
      <c r="AB292" s="2">
        <f>('_Настройки'!$B$6+MAX(0;Z292-1)*'_Настройки'!$B$7)*IF(AA292&gt;0;AA292;'_Настройки'!$B$10)</f>
        <v/>
      </c>
      <c r="AC292" s="2">
        <f>AB292*(1+'_Настройки'!$B$8)</f>
        <v/>
      </c>
      <c r="AD292" s="3">
        <f>'_Настройки'!$B$2</f>
        <v/>
      </c>
      <c r="AE292" s="2">
        <f>L292*AD292</f>
        <v/>
      </c>
      <c r="AF292" s="3">
        <f>'_Настройки'!$B$3</f>
        <v/>
      </c>
      <c r="AG292" s="3">
        <f>IFERROR(INDEX('_Комиссия_ВБ'!$B:$B;MATCH(C292;'_Комиссия_ВБ'!$A:$A;0));0,245)</f>
        <v/>
      </c>
      <c r="AH292" s="3">
        <f>AG292+AF292</f>
        <v/>
      </c>
      <c r="AI292" s="2">
        <f>L292*AH292</f>
        <v/>
      </c>
      <c r="AJ292" s="3">
        <f>IFERROR(INDEX('_Комиссия_ВБ'!$C:$C;MATCH(C292;'_Комиссия_ВБ'!$A:$A;0));0,28)</f>
        <v/>
      </c>
      <c r="AK292" s="3">
        <f>AJ292+AF292</f>
        <v/>
      </c>
      <c r="AL292" s="2">
        <f>L292*AK292</f>
        <v/>
      </c>
      <c r="AM292" s="2" t="n"/>
      <c r="AO292" s="3">
        <f>'_Настройки'!$B$5</f>
        <v/>
      </c>
      <c r="AP292" s="2">
        <f>IF(K292&gt;0;K292*AO292;0)</f>
        <v/>
      </c>
      <c r="AQ292" s="2">
        <f>L292-K292-AI292-AE292-IF(AM292&gt;0;AM292;'_Настройки'!$B$9)-AP292-AC292</f>
        <v/>
      </c>
      <c r="AR292" s="3">
        <f>IF(L292&gt;0;AQ292/L292;"")</f>
        <v/>
      </c>
      <c r="AS292" s="3">
        <f>IF(K292&gt;0;AQ292/K292;"")</f>
        <v/>
      </c>
      <c r="AT292" s="2">
        <f>L292-K292-AL292-AE292-IF(AM292&gt;0;AM292;'_Настройки'!$B$9)-AP292-AC292</f>
        <v/>
      </c>
      <c r="AU292" s="3">
        <f>IF(L292&gt;0;AT292/L292;"")</f>
        <v/>
      </c>
      <c r="AV292" s="3">
        <f>IF(K292&gt;0;AT292/K292;"")</f>
        <v/>
      </c>
    </row>
    <row r="293">
      <c r="A293">
        <f>ROW()-1</f>
        <v/>
      </c>
      <c r="K293" s="2">
        <f>IFERROR(INDEX('_Цены_закупки'!$B:$B;MATCH(C293;'_Цены_закупки'!$A:$A;0));"")</f>
        <v/>
      </c>
      <c r="L293" s="2" t="n"/>
      <c r="M293" s="2" t="n"/>
      <c r="N293" s="3">
        <f>IF(AND(M293&gt;0;L293&gt;0);1-L293/M293;"")</f>
        <v/>
      </c>
      <c r="O293" s="2">
        <f>IF(OR(Q293="";K293=0);"";(K293+IF(AM293&gt;0;AM293;'_Настройки'!$B$9)+AP293+AC293+Q293*K293)/(1-AH293-AD293))</f>
        <v/>
      </c>
      <c r="P293" s="2">
        <f>IF(O293="";"";O293-K293-O293*AH293-O293*AD293-IF(AM293&gt;0;AM293;'_Настройки'!$B$9)-AP293-AC293)</f>
        <v/>
      </c>
      <c r="Q293" s="3">
        <f>IF(AND(O293&gt;0;K293&gt;0);P293/K293;"")</f>
        <v/>
      </c>
      <c r="R293" s="2">
        <f>IF(O293="";"";O293-K293-O293*AK293-O293*AD293-IF(AM293&gt;0;AM293;'_Настройки'!$B$9)-AP293-AC293)</f>
        <v/>
      </c>
      <c r="S293" s="3">
        <f>IF(AND(O293&gt;0;K293&gt;0);R293/K293;"")</f>
        <v/>
      </c>
      <c r="T293" s="2" t="n"/>
      <c r="U293" s="3">
        <f>IF(AND(L293&gt;0;T293&gt;0);1-T293/L293;"")</f>
        <v/>
      </c>
      <c r="V293" s="3">
        <f>'_Настройки'!$B$4</f>
        <v/>
      </c>
      <c r="Z293" s="4">
        <f>IF(AND(W293&gt;0;X293&gt;0;Y293&gt;0);W293*X293*Y293/1000;"")</f>
        <v/>
      </c>
      <c r="AB293" s="2">
        <f>('_Настройки'!$B$6+MAX(0;Z293-1)*'_Настройки'!$B$7)*IF(AA293&gt;0;AA293;'_Настройки'!$B$10)</f>
        <v/>
      </c>
      <c r="AC293" s="2">
        <f>AB293*(1+'_Настройки'!$B$8)</f>
        <v/>
      </c>
      <c r="AD293" s="3">
        <f>'_Настройки'!$B$2</f>
        <v/>
      </c>
      <c r="AE293" s="2">
        <f>L293*AD293</f>
        <v/>
      </c>
      <c r="AF293" s="3">
        <f>'_Настройки'!$B$3</f>
        <v/>
      </c>
      <c r="AG293" s="3">
        <f>IFERROR(INDEX('_Комиссия_ВБ'!$B:$B;MATCH(C293;'_Комиссия_ВБ'!$A:$A;0));0,245)</f>
        <v/>
      </c>
      <c r="AH293" s="3">
        <f>AG293+AF293</f>
        <v/>
      </c>
      <c r="AI293" s="2">
        <f>L293*AH293</f>
        <v/>
      </c>
      <c r="AJ293" s="3">
        <f>IFERROR(INDEX('_Комиссия_ВБ'!$C:$C;MATCH(C293;'_Комиссия_ВБ'!$A:$A;0));0,28)</f>
        <v/>
      </c>
      <c r="AK293" s="3">
        <f>AJ293+AF293</f>
        <v/>
      </c>
      <c r="AL293" s="2">
        <f>L293*AK293</f>
        <v/>
      </c>
      <c r="AM293" s="2" t="n"/>
      <c r="AO293" s="3">
        <f>'_Настройки'!$B$5</f>
        <v/>
      </c>
      <c r="AP293" s="2">
        <f>IF(K293&gt;0;K293*AO293;0)</f>
        <v/>
      </c>
      <c r="AQ293" s="2">
        <f>L293-K293-AI293-AE293-IF(AM293&gt;0;AM293;'_Настройки'!$B$9)-AP293-AC293</f>
        <v/>
      </c>
      <c r="AR293" s="3">
        <f>IF(L293&gt;0;AQ293/L293;"")</f>
        <v/>
      </c>
      <c r="AS293" s="3">
        <f>IF(K293&gt;0;AQ293/K293;"")</f>
        <v/>
      </c>
      <c r="AT293" s="2">
        <f>L293-K293-AL293-AE293-IF(AM293&gt;0;AM293;'_Настройки'!$B$9)-AP293-AC293</f>
        <v/>
      </c>
      <c r="AU293" s="3">
        <f>IF(L293&gt;0;AT293/L293;"")</f>
        <v/>
      </c>
      <c r="AV293" s="3">
        <f>IF(K293&gt;0;AT293/K293;"")</f>
        <v/>
      </c>
    </row>
    <row r="294">
      <c r="A294">
        <f>ROW()-1</f>
        <v/>
      </c>
      <c r="K294" s="2">
        <f>IFERROR(INDEX('_Цены_закупки'!$B:$B;MATCH(C294;'_Цены_закупки'!$A:$A;0));"")</f>
        <v/>
      </c>
      <c r="L294" s="2" t="n"/>
      <c r="M294" s="2" t="n"/>
      <c r="N294" s="3">
        <f>IF(AND(M294&gt;0;L294&gt;0);1-L294/M294;"")</f>
        <v/>
      </c>
      <c r="O294" s="2">
        <f>IF(OR(Q294="";K294=0);"";(K294+IF(AM294&gt;0;AM294;'_Настройки'!$B$9)+AP294+AC294+Q294*K294)/(1-AH294-AD294))</f>
        <v/>
      </c>
      <c r="P294" s="2">
        <f>IF(O294="";"";O294-K294-O294*AH294-O294*AD294-IF(AM294&gt;0;AM294;'_Настройки'!$B$9)-AP294-AC294)</f>
        <v/>
      </c>
      <c r="Q294" s="3">
        <f>IF(AND(O294&gt;0;K294&gt;0);P294/K294;"")</f>
        <v/>
      </c>
      <c r="R294" s="2">
        <f>IF(O294="";"";O294-K294-O294*AK294-O294*AD294-IF(AM294&gt;0;AM294;'_Настройки'!$B$9)-AP294-AC294)</f>
        <v/>
      </c>
      <c r="S294" s="3">
        <f>IF(AND(O294&gt;0;K294&gt;0);R294/K294;"")</f>
        <v/>
      </c>
      <c r="T294" s="2" t="n"/>
      <c r="U294" s="3">
        <f>IF(AND(L294&gt;0;T294&gt;0);1-T294/L294;"")</f>
        <v/>
      </c>
      <c r="V294" s="3">
        <f>'_Настройки'!$B$4</f>
        <v/>
      </c>
      <c r="Z294" s="4">
        <f>IF(AND(W294&gt;0;X294&gt;0;Y294&gt;0);W294*X294*Y294/1000;"")</f>
        <v/>
      </c>
      <c r="AB294" s="2">
        <f>('_Настройки'!$B$6+MAX(0;Z294-1)*'_Настройки'!$B$7)*IF(AA294&gt;0;AA294;'_Настройки'!$B$10)</f>
        <v/>
      </c>
      <c r="AC294" s="2">
        <f>AB294*(1+'_Настройки'!$B$8)</f>
        <v/>
      </c>
      <c r="AD294" s="3">
        <f>'_Настройки'!$B$2</f>
        <v/>
      </c>
      <c r="AE294" s="2">
        <f>L294*AD294</f>
        <v/>
      </c>
      <c r="AF294" s="3">
        <f>'_Настройки'!$B$3</f>
        <v/>
      </c>
      <c r="AG294" s="3">
        <f>IFERROR(INDEX('_Комиссия_ВБ'!$B:$B;MATCH(C294;'_Комиссия_ВБ'!$A:$A;0));0,245)</f>
        <v/>
      </c>
      <c r="AH294" s="3">
        <f>AG294+AF294</f>
        <v/>
      </c>
      <c r="AI294" s="2">
        <f>L294*AH294</f>
        <v/>
      </c>
      <c r="AJ294" s="3">
        <f>IFERROR(INDEX('_Комиссия_ВБ'!$C:$C;MATCH(C294;'_Комиссия_ВБ'!$A:$A;0));0,28)</f>
        <v/>
      </c>
      <c r="AK294" s="3">
        <f>AJ294+AF294</f>
        <v/>
      </c>
      <c r="AL294" s="2">
        <f>L294*AK294</f>
        <v/>
      </c>
      <c r="AM294" s="2" t="n"/>
      <c r="AO294" s="3">
        <f>'_Настройки'!$B$5</f>
        <v/>
      </c>
      <c r="AP294" s="2">
        <f>IF(K294&gt;0;K294*AO294;0)</f>
        <v/>
      </c>
      <c r="AQ294" s="2">
        <f>L294-K294-AI294-AE294-IF(AM294&gt;0;AM294;'_Настройки'!$B$9)-AP294-AC294</f>
        <v/>
      </c>
      <c r="AR294" s="3">
        <f>IF(L294&gt;0;AQ294/L294;"")</f>
        <v/>
      </c>
      <c r="AS294" s="3">
        <f>IF(K294&gt;0;AQ294/K294;"")</f>
        <v/>
      </c>
      <c r="AT294" s="2">
        <f>L294-K294-AL294-AE294-IF(AM294&gt;0;AM294;'_Настройки'!$B$9)-AP294-AC294</f>
        <v/>
      </c>
      <c r="AU294" s="3">
        <f>IF(L294&gt;0;AT294/L294;"")</f>
        <v/>
      </c>
      <c r="AV294" s="3">
        <f>IF(K294&gt;0;AT294/K294;"")</f>
        <v/>
      </c>
    </row>
    <row r="295">
      <c r="A295">
        <f>ROW()-1</f>
        <v/>
      </c>
      <c r="K295" s="2">
        <f>IFERROR(INDEX('_Цены_закупки'!$B:$B;MATCH(C295;'_Цены_закупки'!$A:$A;0));"")</f>
        <v/>
      </c>
      <c r="L295" s="2" t="n"/>
      <c r="M295" s="2" t="n"/>
      <c r="N295" s="3">
        <f>IF(AND(M295&gt;0;L295&gt;0);1-L295/M295;"")</f>
        <v/>
      </c>
      <c r="O295" s="2">
        <f>IF(OR(Q295="";K295=0);"";(K295+IF(AM295&gt;0;AM295;'_Настройки'!$B$9)+AP295+AC295+Q295*K295)/(1-AH295-AD295))</f>
        <v/>
      </c>
      <c r="P295" s="2">
        <f>IF(O295="";"";O295-K295-O295*AH295-O295*AD295-IF(AM295&gt;0;AM295;'_Настройки'!$B$9)-AP295-AC295)</f>
        <v/>
      </c>
      <c r="Q295" s="3">
        <f>IF(AND(O295&gt;0;K295&gt;0);P295/K295;"")</f>
        <v/>
      </c>
      <c r="R295" s="2">
        <f>IF(O295="";"";O295-K295-O295*AK295-O295*AD295-IF(AM295&gt;0;AM295;'_Настройки'!$B$9)-AP295-AC295)</f>
        <v/>
      </c>
      <c r="S295" s="3">
        <f>IF(AND(O295&gt;0;K295&gt;0);R295/K295;"")</f>
        <v/>
      </c>
      <c r="T295" s="2" t="n"/>
      <c r="U295" s="3">
        <f>IF(AND(L295&gt;0;T295&gt;0);1-T295/L295;"")</f>
        <v/>
      </c>
      <c r="V295" s="3">
        <f>'_Настройки'!$B$4</f>
        <v/>
      </c>
      <c r="Z295" s="4">
        <f>IF(AND(W295&gt;0;X295&gt;0;Y295&gt;0);W295*X295*Y295/1000;"")</f>
        <v/>
      </c>
      <c r="AB295" s="2">
        <f>('_Настройки'!$B$6+MAX(0;Z295-1)*'_Настройки'!$B$7)*IF(AA295&gt;0;AA295;'_Настройки'!$B$10)</f>
        <v/>
      </c>
      <c r="AC295" s="2">
        <f>AB295*(1+'_Настройки'!$B$8)</f>
        <v/>
      </c>
      <c r="AD295" s="3">
        <f>'_Настройки'!$B$2</f>
        <v/>
      </c>
      <c r="AE295" s="2">
        <f>L295*AD295</f>
        <v/>
      </c>
      <c r="AF295" s="3">
        <f>'_Настройки'!$B$3</f>
        <v/>
      </c>
      <c r="AG295" s="3">
        <f>IFERROR(INDEX('_Комиссия_ВБ'!$B:$B;MATCH(C295;'_Комиссия_ВБ'!$A:$A;0));0,245)</f>
        <v/>
      </c>
      <c r="AH295" s="3">
        <f>AG295+AF295</f>
        <v/>
      </c>
      <c r="AI295" s="2">
        <f>L295*AH295</f>
        <v/>
      </c>
      <c r="AJ295" s="3">
        <f>IFERROR(INDEX('_Комиссия_ВБ'!$C:$C;MATCH(C295;'_Комиссия_ВБ'!$A:$A;0));0,28)</f>
        <v/>
      </c>
      <c r="AK295" s="3">
        <f>AJ295+AF295</f>
        <v/>
      </c>
      <c r="AL295" s="2">
        <f>L295*AK295</f>
        <v/>
      </c>
      <c r="AM295" s="2" t="n"/>
      <c r="AO295" s="3">
        <f>'_Настройки'!$B$5</f>
        <v/>
      </c>
      <c r="AP295" s="2">
        <f>IF(K295&gt;0;K295*AO295;0)</f>
        <v/>
      </c>
      <c r="AQ295" s="2">
        <f>L295-K295-AI295-AE295-IF(AM295&gt;0;AM295;'_Настройки'!$B$9)-AP295-AC295</f>
        <v/>
      </c>
      <c r="AR295" s="3">
        <f>IF(L295&gt;0;AQ295/L295;"")</f>
        <v/>
      </c>
      <c r="AS295" s="3">
        <f>IF(K295&gt;0;AQ295/K295;"")</f>
        <v/>
      </c>
      <c r="AT295" s="2">
        <f>L295-K295-AL295-AE295-IF(AM295&gt;0;AM295;'_Настройки'!$B$9)-AP295-AC295</f>
        <v/>
      </c>
      <c r="AU295" s="3">
        <f>IF(L295&gt;0;AT295/L295;"")</f>
        <v/>
      </c>
      <c r="AV295" s="3">
        <f>IF(K295&gt;0;AT295/K295;"")</f>
        <v/>
      </c>
    </row>
    <row r="296">
      <c r="A296">
        <f>ROW()-1</f>
        <v/>
      </c>
      <c r="K296" s="2">
        <f>IFERROR(INDEX('_Цены_закупки'!$B:$B;MATCH(C296;'_Цены_закупки'!$A:$A;0));"")</f>
        <v/>
      </c>
      <c r="L296" s="2" t="n"/>
      <c r="M296" s="2" t="n"/>
      <c r="N296" s="3">
        <f>IF(AND(M296&gt;0;L296&gt;0);1-L296/M296;"")</f>
        <v/>
      </c>
      <c r="O296" s="2">
        <f>IF(OR(Q296="";K296=0);"";(K296+IF(AM296&gt;0;AM296;'_Настройки'!$B$9)+AP296+AC296+Q296*K296)/(1-AH296-AD296))</f>
        <v/>
      </c>
      <c r="P296" s="2">
        <f>IF(O296="";"";O296-K296-O296*AH296-O296*AD296-IF(AM296&gt;0;AM296;'_Настройки'!$B$9)-AP296-AC296)</f>
        <v/>
      </c>
      <c r="Q296" s="3">
        <f>IF(AND(O296&gt;0;K296&gt;0);P296/K296;"")</f>
        <v/>
      </c>
      <c r="R296" s="2">
        <f>IF(O296="";"";O296-K296-O296*AK296-O296*AD296-IF(AM296&gt;0;AM296;'_Настройки'!$B$9)-AP296-AC296)</f>
        <v/>
      </c>
      <c r="S296" s="3">
        <f>IF(AND(O296&gt;0;K296&gt;0);R296/K296;"")</f>
        <v/>
      </c>
      <c r="T296" s="2" t="n"/>
      <c r="U296" s="3">
        <f>IF(AND(L296&gt;0;T296&gt;0);1-T296/L296;"")</f>
        <v/>
      </c>
      <c r="V296" s="3">
        <f>'_Настройки'!$B$4</f>
        <v/>
      </c>
      <c r="Z296" s="4">
        <f>IF(AND(W296&gt;0;X296&gt;0;Y296&gt;0);W296*X296*Y296/1000;"")</f>
        <v/>
      </c>
      <c r="AB296" s="2">
        <f>('_Настройки'!$B$6+MAX(0;Z296-1)*'_Настройки'!$B$7)*IF(AA296&gt;0;AA296;'_Настройки'!$B$10)</f>
        <v/>
      </c>
      <c r="AC296" s="2">
        <f>AB296*(1+'_Настройки'!$B$8)</f>
        <v/>
      </c>
      <c r="AD296" s="3">
        <f>'_Настройки'!$B$2</f>
        <v/>
      </c>
      <c r="AE296" s="2">
        <f>L296*AD296</f>
        <v/>
      </c>
      <c r="AF296" s="3">
        <f>'_Настройки'!$B$3</f>
        <v/>
      </c>
      <c r="AG296" s="3">
        <f>IFERROR(INDEX('_Комиссия_ВБ'!$B:$B;MATCH(C296;'_Комиссия_ВБ'!$A:$A;0));0,245)</f>
        <v/>
      </c>
      <c r="AH296" s="3">
        <f>AG296+AF296</f>
        <v/>
      </c>
      <c r="AI296" s="2">
        <f>L296*AH296</f>
        <v/>
      </c>
      <c r="AJ296" s="3">
        <f>IFERROR(INDEX('_Комиссия_ВБ'!$C:$C;MATCH(C296;'_Комиссия_ВБ'!$A:$A;0));0,28)</f>
        <v/>
      </c>
      <c r="AK296" s="3">
        <f>AJ296+AF296</f>
        <v/>
      </c>
      <c r="AL296" s="2">
        <f>L296*AK296</f>
        <v/>
      </c>
      <c r="AM296" s="2" t="n"/>
      <c r="AO296" s="3">
        <f>'_Настройки'!$B$5</f>
        <v/>
      </c>
      <c r="AP296" s="2">
        <f>IF(K296&gt;0;K296*AO296;0)</f>
        <v/>
      </c>
      <c r="AQ296" s="2">
        <f>L296-K296-AI296-AE296-IF(AM296&gt;0;AM296;'_Настройки'!$B$9)-AP296-AC296</f>
        <v/>
      </c>
      <c r="AR296" s="3">
        <f>IF(L296&gt;0;AQ296/L296;"")</f>
        <v/>
      </c>
      <c r="AS296" s="3">
        <f>IF(K296&gt;0;AQ296/K296;"")</f>
        <v/>
      </c>
      <c r="AT296" s="2">
        <f>L296-K296-AL296-AE296-IF(AM296&gt;0;AM296;'_Настройки'!$B$9)-AP296-AC296</f>
        <v/>
      </c>
      <c r="AU296" s="3">
        <f>IF(L296&gt;0;AT296/L296;"")</f>
        <v/>
      </c>
      <c r="AV296" s="3">
        <f>IF(K296&gt;0;AT296/K296;"")</f>
        <v/>
      </c>
    </row>
    <row r="297">
      <c r="A297">
        <f>ROW()-1</f>
        <v/>
      </c>
      <c r="K297" s="2">
        <f>IFERROR(INDEX('_Цены_закупки'!$B:$B;MATCH(C297;'_Цены_закупки'!$A:$A;0));"")</f>
        <v/>
      </c>
      <c r="L297" s="2" t="n"/>
      <c r="M297" s="2" t="n"/>
      <c r="N297" s="3">
        <f>IF(AND(M297&gt;0;L297&gt;0);1-L297/M297;"")</f>
        <v/>
      </c>
      <c r="O297" s="2">
        <f>IF(OR(Q297="";K297=0);"";(K297+IF(AM297&gt;0;AM297;'_Настройки'!$B$9)+AP297+AC297+Q297*K297)/(1-AH297-AD297))</f>
        <v/>
      </c>
      <c r="P297" s="2">
        <f>IF(O297="";"";O297-K297-O297*AH297-O297*AD297-IF(AM297&gt;0;AM297;'_Настройки'!$B$9)-AP297-AC297)</f>
        <v/>
      </c>
      <c r="Q297" s="3">
        <f>IF(AND(O297&gt;0;K297&gt;0);P297/K297;"")</f>
        <v/>
      </c>
      <c r="R297" s="2">
        <f>IF(O297="";"";O297-K297-O297*AK297-O297*AD297-IF(AM297&gt;0;AM297;'_Настройки'!$B$9)-AP297-AC297)</f>
        <v/>
      </c>
      <c r="S297" s="3">
        <f>IF(AND(O297&gt;0;K297&gt;0);R297/K297;"")</f>
        <v/>
      </c>
      <c r="T297" s="2" t="n"/>
      <c r="U297" s="3">
        <f>IF(AND(L297&gt;0;T297&gt;0);1-T297/L297;"")</f>
        <v/>
      </c>
      <c r="V297" s="3">
        <f>'_Настройки'!$B$4</f>
        <v/>
      </c>
      <c r="Z297" s="4">
        <f>IF(AND(W297&gt;0;X297&gt;0;Y297&gt;0);W297*X297*Y297/1000;"")</f>
        <v/>
      </c>
      <c r="AB297" s="2">
        <f>('_Настройки'!$B$6+MAX(0;Z297-1)*'_Настройки'!$B$7)*IF(AA297&gt;0;AA297;'_Настройки'!$B$10)</f>
        <v/>
      </c>
      <c r="AC297" s="2">
        <f>AB297*(1+'_Настройки'!$B$8)</f>
        <v/>
      </c>
      <c r="AD297" s="3">
        <f>'_Настройки'!$B$2</f>
        <v/>
      </c>
      <c r="AE297" s="2">
        <f>L297*AD297</f>
        <v/>
      </c>
      <c r="AF297" s="3">
        <f>'_Настройки'!$B$3</f>
        <v/>
      </c>
      <c r="AG297" s="3">
        <f>IFERROR(INDEX('_Комиссия_ВБ'!$B:$B;MATCH(C297;'_Комиссия_ВБ'!$A:$A;0));0,245)</f>
        <v/>
      </c>
      <c r="AH297" s="3">
        <f>AG297+AF297</f>
        <v/>
      </c>
      <c r="AI297" s="2">
        <f>L297*AH297</f>
        <v/>
      </c>
      <c r="AJ297" s="3">
        <f>IFERROR(INDEX('_Комиссия_ВБ'!$C:$C;MATCH(C297;'_Комиссия_ВБ'!$A:$A;0));0,28)</f>
        <v/>
      </c>
      <c r="AK297" s="3">
        <f>AJ297+AF297</f>
        <v/>
      </c>
      <c r="AL297" s="2">
        <f>L297*AK297</f>
        <v/>
      </c>
      <c r="AM297" s="2" t="n"/>
      <c r="AO297" s="3">
        <f>'_Настройки'!$B$5</f>
        <v/>
      </c>
      <c r="AP297" s="2">
        <f>IF(K297&gt;0;K297*AO297;0)</f>
        <v/>
      </c>
      <c r="AQ297" s="2">
        <f>L297-K297-AI297-AE297-IF(AM297&gt;0;AM297;'_Настройки'!$B$9)-AP297-AC297</f>
        <v/>
      </c>
      <c r="AR297" s="3">
        <f>IF(L297&gt;0;AQ297/L297;"")</f>
        <v/>
      </c>
      <c r="AS297" s="3">
        <f>IF(K297&gt;0;AQ297/K297;"")</f>
        <v/>
      </c>
      <c r="AT297" s="2">
        <f>L297-K297-AL297-AE297-IF(AM297&gt;0;AM297;'_Настройки'!$B$9)-AP297-AC297</f>
        <v/>
      </c>
      <c r="AU297" s="3">
        <f>IF(L297&gt;0;AT297/L297;"")</f>
        <v/>
      </c>
      <c r="AV297" s="3">
        <f>IF(K297&gt;0;AT297/K297;"")</f>
        <v/>
      </c>
    </row>
    <row r="298">
      <c r="A298">
        <f>ROW()-1</f>
        <v/>
      </c>
      <c r="K298" s="2">
        <f>IFERROR(INDEX('_Цены_закупки'!$B:$B;MATCH(C298;'_Цены_закупки'!$A:$A;0));"")</f>
        <v/>
      </c>
      <c r="L298" s="2" t="n"/>
      <c r="M298" s="2" t="n"/>
      <c r="N298" s="3">
        <f>IF(AND(M298&gt;0;L298&gt;0);1-L298/M298;"")</f>
        <v/>
      </c>
      <c r="O298" s="2">
        <f>IF(OR(Q298="";K298=0);"";(K298+IF(AM298&gt;0;AM298;'_Настройки'!$B$9)+AP298+AC298+Q298*K298)/(1-AH298-AD298))</f>
        <v/>
      </c>
      <c r="P298" s="2">
        <f>IF(O298="";"";O298-K298-O298*AH298-O298*AD298-IF(AM298&gt;0;AM298;'_Настройки'!$B$9)-AP298-AC298)</f>
        <v/>
      </c>
      <c r="Q298" s="3">
        <f>IF(AND(O298&gt;0;K298&gt;0);P298/K298;"")</f>
        <v/>
      </c>
      <c r="R298" s="2">
        <f>IF(O298="";"";O298-K298-O298*AK298-O298*AD298-IF(AM298&gt;0;AM298;'_Настройки'!$B$9)-AP298-AC298)</f>
        <v/>
      </c>
      <c r="S298" s="3">
        <f>IF(AND(O298&gt;0;K298&gt;0);R298/K298;"")</f>
        <v/>
      </c>
      <c r="T298" s="2" t="n"/>
      <c r="U298" s="3">
        <f>IF(AND(L298&gt;0;T298&gt;0);1-T298/L298;"")</f>
        <v/>
      </c>
      <c r="V298" s="3">
        <f>'_Настройки'!$B$4</f>
        <v/>
      </c>
      <c r="Z298" s="4">
        <f>IF(AND(W298&gt;0;X298&gt;0;Y298&gt;0);W298*X298*Y298/1000;"")</f>
        <v/>
      </c>
      <c r="AB298" s="2">
        <f>('_Настройки'!$B$6+MAX(0;Z298-1)*'_Настройки'!$B$7)*IF(AA298&gt;0;AA298;'_Настройки'!$B$10)</f>
        <v/>
      </c>
      <c r="AC298" s="2">
        <f>AB298*(1+'_Настройки'!$B$8)</f>
        <v/>
      </c>
      <c r="AD298" s="3">
        <f>'_Настройки'!$B$2</f>
        <v/>
      </c>
      <c r="AE298" s="2">
        <f>L298*AD298</f>
        <v/>
      </c>
      <c r="AF298" s="3">
        <f>'_Настройки'!$B$3</f>
        <v/>
      </c>
      <c r="AG298" s="3">
        <f>IFERROR(INDEX('_Комиссия_ВБ'!$B:$B;MATCH(C298;'_Комиссия_ВБ'!$A:$A;0));0,245)</f>
        <v/>
      </c>
      <c r="AH298" s="3">
        <f>AG298+AF298</f>
        <v/>
      </c>
      <c r="AI298" s="2">
        <f>L298*AH298</f>
        <v/>
      </c>
      <c r="AJ298" s="3">
        <f>IFERROR(INDEX('_Комиссия_ВБ'!$C:$C;MATCH(C298;'_Комиссия_ВБ'!$A:$A;0));0,28)</f>
        <v/>
      </c>
      <c r="AK298" s="3">
        <f>AJ298+AF298</f>
        <v/>
      </c>
      <c r="AL298" s="2">
        <f>L298*AK298</f>
        <v/>
      </c>
      <c r="AM298" s="2" t="n"/>
      <c r="AO298" s="3">
        <f>'_Настройки'!$B$5</f>
        <v/>
      </c>
      <c r="AP298" s="2">
        <f>IF(K298&gt;0;K298*AO298;0)</f>
        <v/>
      </c>
      <c r="AQ298" s="2">
        <f>L298-K298-AI298-AE298-IF(AM298&gt;0;AM298;'_Настройки'!$B$9)-AP298-AC298</f>
        <v/>
      </c>
      <c r="AR298" s="3">
        <f>IF(L298&gt;0;AQ298/L298;"")</f>
        <v/>
      </c>
      <c r="AS298" s="3">
        <f>IF(K298&gt;0;AQ298/K298;"")</f>
        <v/>
      </c>
      <c r="AT298" s="2">
        <f>L298-K298-AL298-AE298-IF(AM298&gt;0;AM298;'_Настройки'!$B$9)-AP298-AC298</f>
        <v/>
      </c>
      <c r="AU298" s="3">
        <f>IF(L298&gt;0;AT298/L298;"")</f>
        <v/>
      </c>
      <c r="AV298" s="3">
        <f>IF(K298&gt;0;AT298/K298;"")</f>
        <v/>
      </c>
    </row>
    <row r="299">
      <c r="A299">
        <f>ROW()-1</f>
        <v/>
      </c>
      <c r="K299" s="2">
        <f>IFERROR(INDEX('_Цены_закупки'!$B:$B;MATCH(C299;'_Цены_закупки'!$A:$A;0));"")</f>
        <v/>
      </c>
      <c r="L299" s="2" t="n"/>
      <c r="M299" s="2" t="n"/>
      <c r="N299" s="3">
        <f>IF(AND(M299&gt;0;L299&gt;0);1-L299/M299;"")</f>
        <v/>
      </c>
      <c r="O299" s="2">
        <f>IF(OR(Q299="";K299=0);"";(K299+IF(AM299&gt;0;AM299;'_Настройки'!$B$9)+AP299+AC299+Q299*K299)/(1-AH299-AD299))</f>
        <v/>
      </c>
      <c r="P299" s="2">
        <f>IF(O299="";"";O299-K299-O299*AH299-O299*AD299-IF(AM299&gt;0;AM299;'_Настройки'!$B$9)-AP299-AC299)</f>
        <v/>
      </c>
      <c r="Q299" s="3">
        <f>IF(AND(O299&gt;0;K299&gt;0);P299/K299;"")</f>
        <v/>
      </c>
      <c r="R299" s="2">
        <f>IF(O299="";"";O299-K299-O299*AK299-O299*AD299-IF(AM299&gt;0;AM299;'_Настройки'!$B$9)-AP299-AC299)</f>
        <v/>
      </c>
      <c r="S299" s="3">
        <f>IF(AND(O299&gt;0;K299&gt;0);R299/K299;"")</f>
        <v/>
      </c>
      <c r="T299" s="2" t="n"/>
      <c r="U299" s="3">
        <f>IF(AND(L299&gt;0;T299&gt;0);1-T299/L299;"")</f>
        <v/>
      </c>
      <c r="V299" s="3">
        <f>'_Настройки'!$B$4</f>
        <v/>
      </c>
      <c r="Z299" s="4">
        <f>IF(AND(W299&gt;0;X299&gt;0;Y299&gt;0);W299*X299*Y299/1000;"")</f>
        <v/>
      </c>
      <c r="AB299" s="2">
        <f>('_Настройки'!$B$6+MAX(0;Z299-1)*'_Настройки'!$B$7)*IF(AA299&gt;0;AA299;'_Настройки'!$B$10)</f>
        <v/>
      </c>
      <c r="AC299" s="2">
        <f>AB299*(1+'_Настройки'!$B$8)</f>
        <v/>
      </c>
      <c r="AD299" s="3">
        <f>'_Настройки'!$B$2</f>
        <v/>
      </c>
      <c r="AE299" s="2">
        <f>L299*AD299</f>
        <v/>
      </c>
      <c r="AF299" s="3">
        <f>'_Настройки'!$B$3</f>
        <v/>
      </c>
      <c r="AG299" s="3">
        <f>IFERROR(INDEX('_Комиссия_ВБ'!$B:$B;MATCH(C299;'_Комиссия_ВБ'!$A:$A;0));0,245)</f>
        <v/>
      </c>
      <c r="AH299" s="3">
        <f>AG299+AF299</f>
        <v/>
      </c>
      <c r="AI299" s="2">
        <f>L299*AH299</f>
        <v/>
      </c>
      <c r="AJ299" s="3">
        <f>IFERROR(INDEX('_Комиссия_ВБ'!$C:$C;MATCH(C299;'_Комиссия_ВБ'!$A:$A;0));0,28)</f>
        <v/>
      </c>
      <c r="AK299" s="3">
        <f>AJ299+AF299</f>
        <v/>
      </c>
      <c r="AL299" s="2">
        <f>L299*AK299</f>
        <v/>
      </c>
      <c r="AM299" s="2" t="n"/>
      <c r="AO299" s="3">
        <f>'_Настройки'!$B$5</f>
        <v/>
      </c>
      <c r="AP299" s="2">
        <f>IF(K299&gt;0;K299*AO299;0)</f>
        <v/>
      </c>
      <c r="AQ299" s="2">
        <f>L299-K299-AI299-AE299-IF(AM299&gt;0;AM299;'_Настройки'!$B$9)-AP299-AC299</f>
        <v/>
      </c>
      <c r="AR299" s="3">
        <f>IF(L299&gt;0;AQ299/L299;"")</f>
        <v/>
      </c>
      <c r="AS299" s="3">
        <f>IF(K299&gt;0;AQ299/K299;"")</f>
        <v/>
      </c>
      <c r="AT299" s="2">
        <f>L299-K299-AL299-AE299-IF(AM299&gt;0;AM299;'_Настройки'!$B$9)-AP299-AC299</f>
        <v/>
      </c>
      <c r="AU299" s="3">
        <f>IF(L299&gt;0;AT299/L299;"")</f>
        <v/>
      </c>
      <c r="AV299" s="3">
        <f>IF(K299&gt;0;AT299/K299;"")</f>
        <v/>
      </c>
    </row>
    <row r="300">
      <c r="A300">
        <f>ROW()-1</f>
        <v/>
      </c>
      <c r="K300" s="2">
        <f>IFERROR(INDEX('_Цены_закупки'!$B:$B;MATCH(C300;'_Цены_закупки'!$A:$A;0));"")</f>
        <v/>
      </c>
      <c r="L300" s="2" t="n"/>
      <c r="M300" s="2" t="n"/>
      <c r="N300" s="3">
        <f>IF(AND(M300&gt;0;L300&gt;0);1-L300/M300;"")</f>
        <v/>
      </c>
      <c r="O300" s="2">
        <f>IF(OR(Q300="";K300=0);"";(K300+IF(AM300&gt;0;AM300;'_Настройки'!$B$9)+AP300+AC300+Q300*K300)/(1-AH300-AD300))</f>
        <v/>
      </c>
      <c r="P300" s="2">
        <f>IF(O300="";"";O300-K300-O300*AH300-O300*AD300-IF(AM300&gt;0;AM300;'_Настройки'!$B$9)-AP300-AC300)</f>
        <v/>
      </c>
      <c r="Q300" s="3">
        <f>IF(AND(O300&gt;0;K300&gt;0);P300/K300;"")</f>
        <v/>
      </c>
      <c r="R300" s="2">
        <f>IF(O300="";"";O300-K300-O300*AK300-O300*AD300-IF(AM300&gt;0;AM300;'_Настройки'!$B$9)-AP300-AC300)</f>
        <v/>
      </c>
      <c r="S300" s="3">
        <f>IF(AND(O300&gt;0;K300&gt;0);R300/K300;"")</f>
        <v/>
      </c>
      <c r="T300" s="2" t="n"/>
      <c r="U300" s="3">
        <f>IF(AND(L300&gt;0;T300&gt;0);1-T300/L300;"")</f>
        <v/>
      </c>
      <c r="V300" s="3">
        <f>'_Настройки'!$B$4</f>
        <v/>
      </c>
      <c r="Z300" s="4">
        <f>IF(AND(W300&gt;0;X300&gt;0;Y300&gt;0);W300*X300*Y300/1000;"")</f>
        <v/>
      </c>
      <c r="AB300" s="2">
        <f>('_Настройки'!$B$6+MAX(0;Z300-1)*'_Настройки'!$B$7)*IF(AA300&gt;0;AA300;'_Настройки'!$B$10)</f>
        <v/>
      </c>
      <c r="AC300" s="2">
        <f>AB300*(1+'_Настройки'!$B$8)</f>
        <v/>
      </c>
      <c r="AD300" s="3">
        <f>'_Настройки'!$B$2</f>
        <v/>
      </c>
      <c r="AE300" s="2">
        <f>L300*AD300</f>
        <v/>
      </c>
      <c r="AF300" s="3">
        <f>'_Настройки'!$B$3</f>
        <v/>
      </c>
      <c r="AG300" s="3">
        <f>IFERROR(INDEX('_Комиссия_ВБ'!$B:$B;MATCH(C300;'_Комиссия_ВБ'!$A:$A;0));0,245)</f>
        <v/>
      </c>
      <c r="AH300" s="3">
        <f>AG300+AF300</f>
        <v/>
      </c>
      <c r="AI300" s="2">
        <f>L300*AH300</f>
        <v/>
      </c>
      <c r="AJ300" s="3">
        <f>IFERROR(INDEX('_Комиссия_ВБ'!$C:$C;MATCH(C300;'_Комиссия_ВБ'!$A:$A;0));0,28)</f>
        <v/>
      </c>
      <c r="AK300" s="3">
        <f>AJ300+AF300</f>
        <v/>
      </c>
      <c r="AL300" s="2">
        <f>L300*AK300</f>
        <v/>
      </c>
      <c r="AM300" s="2" t="n"/>
      <c r="AO300" s="3">
        <f>'_Настройки'!$B$5</f>
        <v/>
      </c>
      <c r="AP300" s="2">
        <f>IF(K300&gt;0;K300*AO300;0)</f>
        <v/>
      </c>
      <c r="AQ300" s="2">
        <f>L300-K300-AI300-AE300-IF(AM300&gt;0;AM300;'_Настройки'!$B$9)-AP300-AC300</f>
        <v/>
      </c>
      <c r="AR300" s="3">
        <f>IF(L300&gt;0;AQ300/L300;"")</f>
        <v/>
      </c>
      <c r="AS300" s="3">
        <f>IF(K300&gt;0;AQ300/K300;"")</f>
        <v/>
      </c>
      <c r="AT300" s="2">
        <f>L300-K300-AL300-AE300-IF(AM300&gt;0;AM300;'_Настройки'!$B$9)-AP300-AC300</f>
        <v/>
      </c>
      <c r="AU300" s="3">
        <f>IF(L300&gt;0;AT300/L300;"")</f>
        <v/>
      </c>
      <c r="AV300" s="3">
        <f>IF(K300&gt;0;AT300/K300;"")</f>
        <v/>
      </c>
    </row>
    <row r="301">
      <c r="A301">
        <f>ROW()-1</f>
        <v/>
      </c>
      <c r="K301" s="2">
        <f>IFERROR(INDEX('_Цены_закупки'!$B:$B;MATCH(C301;'_Цены_закупки'!$A:$A;0));"")</f>
        <v/>
      </c>
      <c r="L301" s="2" t="n"/>
      <c r="M301" s="2" t="n"/>
      <c r="N301" s="3">
        <f>IF(AND(M301&gt;0;L301&gt;0);1-L301/M301;"")</f>
        <v/>
      </c>
      <c r="O301" s="2">
        <f>IF(OR(Q301="";K301=0);"";(K301+IF(AM301&gt;0;AM301;'_Настройки'!$B$9)+AP301+AC301+Q301*K301)/(1-AH301-AD301))</f>
        <v/>
      </c>
      <c r="P301" s="2">
        <f>IF(O301="";"";O301-K301-O301*AH301-O301*AD301-IF(AM301&gt;0;AM301;'_Настройки'!$B$9)-AP301-AC301)</f>
        <v/>
      </c>
      <c r="Q301" s="3">
        <f>IF(AND(O301&gt;0;K301&gt;0);P301/K301;"")</f>
        <v/>
      </c>
      <c r="R301" s="2">
        <f>IF(O301="";"";O301-K301-O301*AK301-O301*AD301-IF(AM301&gt;0;AM301;'_Настройки'!$B$9)-AP301-AC301)</f>
        <v/>
      </c>
      <c r="S301" s="3">
        <f>IF(AND(O301&gt;0;K301&gt;0);R301/K301;"")</f>
        <v/>
      </c>
      <c r="T301" s="2" t="n"/>
      <c r="U301" s="3">
        <f>IF(AND(L301&gt;0;T301&gt;0);1-T301/L301;"")</f>
        <v/>
      </c>
      <c r="V301" s="3">
        <f>'_Настройки'!$B$4</f>
        <v/>
      </c>
      <c r="Z301" s="4">
        <f>IF(AND(W301&gt;0;X301&gt;0;Y301&gt;0);W301*X301*Y301/1000;"")</f>
        <v/>
      </c>
      <c r="AB301" s="2">
        <f>('_Настройки'!$B$6+MAX(0;Z301-1)*'_Настройки'!$B$7)*IF(AA301&gt;0;AA301;'_Настройки'!$B$10)</f>
        <v/>
      </c>
      <c r="AC301" s="2">
        <f>AB301*(1+'_Настройки'!$B$8)</f>
        <v/>
      </c>
      <c r="AD301" s="3">
        <f>'_Настройки'!$B$2</f>
        <v/>
      </c>
      <c r="AE301" s="2">
        <f>L301*AD301</f>
        <v/>
      </c>
      <c r="AF301" s="3">
        <f>'_Настройки'!$B$3</f>
        <v/>
      </c>
      <c r="AG301" s="3">
        <f>IFERROR(INDEX('_Комиссия_ВБ'!$B:$B;MATCH(C301;'_Комиссия_ВБ'!$A:$A;0));0,245)</f>
        <v/>
      </c>
      <c r="AH301" s="3">
        <f>AG301+AF301</f>
        <v/>
      </c>
      <c r="AI301" s="2">
        <f>L301*AH301</f>
        <v/>
      </c>
      <c r="AJ301" s="3">
        <f>IFERROR(INDEX('_Комиссия_ВБ'!$C:$C;MATCH(C301;'_Комиссия_ВБ'!$A:$A;0));0,28)</f>
        <v/>
      </c>
      <c r="AK301" s="3">
        <f>AJ301+AF301</f>
        <v/>
      </c>
      <c r="AL301" s="2">
        <f>L301*AK301</f>
        <v/>
      </c>
      <c r="AM301" s="2" t="n"/>
      <c r="AO301" s="3">
        <f>'_Настройки'!$B$5</f>
        <v/>
      </c>
      <c r="AP301" s="2">
        <f>IF(K301&gt;0;K301*AO301;0)</f>
        <v/>
      </c>
      <c r="AQ301" s="2">
        <f>L301-K301-AI301-AE301-IF(AM301&gt;0;AM301;'_Настройки'!$B$9)-AP301-AC301</f>
        <v/>
      </c>
      <c r="AR301" s="3">
        <f>IF(L301&gt;0;AQ301/L301;"")</f>
        <v/>
      </c>
      <c r="AS301" s="3">
        <f>IF(K301&gt;0;AQ301/K301;"")</f>
        <v/>
      </c>
      <c r="AT301" s="2">
        <f>L301-K301-AL301-AE301-IF(AM301&gt;0;AM301;'_Настройки'!$B$9)-AP301-AC301</f>
        <v/>
      </c>
      <c r="AU301" s="3">
        <f>IF(L301&gt;0;AT301/L301;"")</f>
        <v/>
      </c>
      <c r="AV301" s="3">
        <f>IF(K301&gt;0;AT301/K301;"")</f>
        <v/>
      </c>
    </row>
    <row r="302">
      <c r="A302">
        <f>ROW()-1</f>
        <v/>
      </c>
      <c r="K302" s="2">
        <f>IFERROR(INDEX('_Цены_закупки'!$B:$B;MATCH(C302;'_Цены_закупки'!$A:$A;0));"")</f>
        <v/>
      </c>
      <c r="L302" s="2" t="n"/>
      <c r="M302" s="2" t="n"/>
      <c r="N302" s="3">
        <f>IF(AND(M302&gt;0;L302&gt;0);1-L302/M302;"")</f>
        <v/>
      </c>
      <c r="O302" s="2">
        <f>IF(OR(Q302="";K302=0);"";(K302+IF(AM302&gt;0;AM302;'_Настройки'!$B$9)+AP302+AC302+Q302*K302)/(1-AH302-AD302))</f>
        <v/>
      </c>
      <c r="P302" s="2">
        <f>IF(O302="";"";O302-K302-O302*AH302-O302*AD302-IF(AM302&gt;0;AM302;'_Настройки'!$B$9)-AP302-AC302)</f>
        <v/>
      </c>
      <c r="Q302" s="3">
        <f>IF(AND(O302&gt;0;K302&gt;0);P302/K302;"")</f>
        <v/>
      </c>
      <c r="R302" s="2">
        <f>IF(O302="";"";O302-K302-O302*AK302-O302*AD302-IF(AM302&gt;0;AM302;'_Настройки'!$B$9)-AP302-AC302)</f>
        <v/>
      </c>
      <c r="S302" s="3">
        <f>IF(AND(O302&gt;0;K302&gt;0);R302/K302;"")</f>
        <v/>
      </c>
      <c r="T302" s="2" t="n"/>
      <c r="U302" s="3">
        <f>IF(AND(L302&gt;0;T302&gt;0);1-T302/L302;"")</f>
        <v/>
      </c>
      <c r="V302" s="3">
        <f>'_Настройки'!$B$4</f>
        <v/>
      </c>
      <c r="Z302" s="4">
        <f>IF(AND(W302&gt;0;X302&gt;0;Y302&gt;0);W302*X302*Y302/1000;"")</f>
        <v/>
      </c>
      <c r="AB302" s="2">
        <f>('_Настройки'!$B$6+MAX(0;Z302-1)*'_Настройки'!$B$7)*IF(AA302&gt;0;AA302;'_Настройки'!$B$10)</f>
        <v/>
      </c>
      <c r="AC302" s="2">
        <f>AB302*(1+'_Настройки'!$B$8)</f>
        <v/>
      </c>
      <c r="AD302" s="3">
        <f>'_Настройки'!$B$2</f>
        <v/>
      </c>
      <c r="AE302" s="2">
        <f>L302*AD302</f>
        <v/>
      </c>
      <c r="AF302" s="3">
        <f>'_Настройки'!$B$3</f>
        <v/>
      </c>
      <c r="AG302" s="3">
        <f>IFERROR(INDEX('_Комиссия_ВБ'!$B:$B;MATCH(C302;'_Комиссия_ВБ'!$A:$A;0));0,245)</f>
        <v/>
      </c>
      <c r="AH302" s="3">
        <f>AG302+AF302</f>
        <v/>
      </c>
      <c r="AI302" s="2">
        <f>L302*AH302</f>
        <v/>
      </c>
      <c r="AJ302" s="3">
        <f>IFERROR(INDEX('_Комиссия_ВБ'!$C:$C;MATCH(C302;'_Комиссия_ВБ'!$A:$A;0));0,28)</f>
        <v/>
      </c>
      <c r="AK302" s="3">
        <f>AJ302+AF302</f>
        <v/>
      </c>
      <c r="AL302" s="2">
        <f>L302*AK302</f>
        <v/>
      </c>
      <c r="AM302" s="2" t="n"/>
      <c r="AO302" s="3">
        <f>'_Настройки'!$B$5</f>
        <v/>
      </c>
      <c r="AP302" s="2">
        <f>IF(K302&gt;0;K302*AO302;0)</f>
        <v/>
      </c>
      <c r="AQ302" s="2">
        <f>L302-K302-AI302-AE302-IF(AM302&gt;0;AM302;'_Настройки'!$B$9)-AP302-AC302</f>
        <v/>
      </c>
      <c r="AR302" s="3">
        <f>IF(L302&gt;0;AQ302/L302;"")</f>
        <v/>
      </c>
      <c r="AS302" s="3">
        <f>IF(K302&gt;0;AQ302/K302;"")</f>
        <v/>
      </c>
      <c r="AT302" s="2">
        <f>L302-K302-AL302-AE302-IF(AM302&gt;0;AM302;'_Настройки'!$B$9)-AP302-AC302</f>
        <v/>
      </c>
      <c r="AU302" s="3">
        <f>IF(L302&gt;0;AT302/L302;"")</f>
        <v/>
      </c>
      <c r="AV302" s="3">
        <f>IF(K302&gt;0;AT302/K302;"")</f>
        <v/>
      </c>
    </row>
    <row r="303">
      <c r="A303">
        <f>ROW()-1</f>
        <v/>
      </c>
      <c r="K303" s="2">
        <f>IFERROR(INDEX('_Цены_закупки'!$B:$B;MATCH(C303;'_Цены_закупки'!$A:$A;0));"")</f>
        <v/>
      </c>
      <c r="L303" s="2" t="n"/>
      <c r="M303" s="2" t="n"/>
      <c r="N303" s="3">
        <f>IF(AND(M303&gt;0;L303&gt;0);1-L303/M303;"")</f>
        <v/>
      </c>
      <c r="O303" s="2">
        <f>IF(OR(Q303="";K303=0);"";(K303+IF(AM303&gt;0;AM303;'_Настройки'!$B$9)+AP303+AC303+Q303*K303)/(1-AH303-AD303))</f>
        <v/>
      </c>
      <c r="P303" s="2">
        <f>IF(O303="";"";O303-K303-O303*AH303-O303*AD303-IF(AM303&gt;0;AM303;'_Настройки'!$B$9)-AP303-AC303)</f>
        <v/>
      </c>
      <c r="Q303" s="3">
        <f>IF(AND(O303&gt;0;K303&gt;0);P303/K303;"")</f>
        <v/>
      </c>
      <c r="R303" s="2">
        <f>IF(O303="";"";O303-K303-O303*AK303-O303*AD303-IF(AM303&gt;0;AM303;'_Настройки'!$B$9)-AP303-AC303)</f>
        <v/>
      </c>
      <c r="S303" s="3">
        <f>IF(AND(O303&gt;0;K303&gt;0);R303/K303;"")</f>
        <v/>
      </c>
      <c r="T303" s="2" t="n"/>
      <c r="U303" s="3">
        <f>IF(AND(L303&gt;0;T303&gt;0);1-T303/L303;"")</f>
        <v/>
      </c>
      <c r="V303" s="3">
        <f>'_Настройки'!$B$4</f>
        <v/>
      </c>
      <c r="Z303" s="4">
        <f>IF(AND(W303&gt;0;X303&gt;0;Y303&gt;0);W303*X303*Y303/1000;"")</f>
        <v/>
      </c>
      <c r="AB303" s="2">
        <f>('_Настройки'!$B$6+MAX(0;Z303-1)*'_Настройки'!$B$7)*IF(AA303&gt;0;AA303;'_Настройки'!$B$10)</f>
        <v/>
      </c>
      <c r="AC303" s="2">
        <f>AB303*(1+'_Настройки'!$B$8)</f>
        <v/>
      </c>
      <c r="AD303" s="3">
        <f>'_Настройки'!$B$2</f>
        <v/>
      </c>
      <c r="AE303" s="2">
        <f>L303*AD303</f>
        <v/>
      </c>
      <c r="AF303" s="3">
        <f>'_Настройки'!$B$3</f>
        <v/>
      </c>
      <c r="AG303" s="3">
        <f>IFERROR(INDEX('_Комиссия_ВБ'!$B:$B;MATCH(C303;'_Комиссия_ВБ'!$A:$A;0));0,245)</f>
        <v/>
      </c>
      <c r="AH303" s="3">
        <f>AG303+AF303</f>
        <v/>
      </c>
      <c r="AI303" s="2">
        <f>L303*AH303</f>
        <v/>
      </c>
      <c r="AJ303" s="3">
        <f>IFERROR(INDEX('_Комиссия_ВБ'!$C:$C;MATCH(C303;'_Комиссия_ВБ'!$A:$A;0));0,28)</f>
        <v/>
      </c>
      <c r="AK303" s="3">
        <f>AJ303+AF303</f>
        <v/>
      </c>
      <c r="AL303" s="2">
        <f>L303*AK303</f>
        <v/>
      </c>
      <c r="AM303" s="2" t="n"/>
      <c r="AO303" s="3">
        <f>'_Настройки'!$B$5</f>
        <v/>
      </c>
      <c r="AP303" s="2">
        <f>IF(K303&gt;0;K303*AO303;0)</f>
        <v/>
      </c>
      <c r="AQ303" s="2">
        <f>L303-K303-AI303-AE303-IF(AM303&gt;0;AM303;'_Настройки'!$B$9)-AP303-AC303</f>
        <v/>
      </c>
      <c r="AR303" s="3">
        <f>IF(L303&gt;0;AQ303/L303;"")</f>
        <v/>
      </c>
      <c r="AS303" s="3">
        <f>IF(K303&gt;0;AQ303/K303;"")</f>
        <v/>
      </c>
      <c r="AT303" s="2">
        <f>L303-K303-AL303-AE303-IF(AM303&gt;0;AM303;'_Настройки'!$B$9)-AP303-AC303</f>
        <v/>
      </c>
      <c r="AU303" s="3">
        <f>IF(L303&gt;0;AT303/L303;"")</f>
        <v/>
      </c>
      <c r="AV303" s="3">
        <f>IF(K303&gt;0;AT303/K303;"")</f>
        <v/>
      </c>
    </row>
    <row r="304">
      <c r="A304">
        <f>ROW()-1</f>
        <v/>
      </c>
      <c r="K304" s="2">
        <f>IFERROR(INDEX('_Цены_закупки'!$B:$B;MATCH(C304;'_Цены_закупки'!$A:$A;0));"")</f>
        <v/>
      </c>
      <c r="L304" s="2" t="n"/>
      <c r="M304" s="2" t="n"/>
      <c r="N304" s="3">
        <f>IF(AND(M304&gt;0;L304&gt;0);1-L304/M304;"")</f>
        <v/>
      </c>
      <c r="O304" s="2">
        <f>IF(OR(Q304="";K304=0);"";(K304+IF(AM304&gt;0;AM304;'_Настройки'!$B$9)+AP304+AC304+Q304*K304)/(1-AH304-AD304))</f>
        <v/>
      </c>
      <c r="P304" s="2">
        <f>IF(O304="";"";O304-K304-O304*AH304-O304*AD304-IF(AM304&gt;0;AM304;'_Настройки'!$B$9)-AP304-AC304)</f>
        <v/>
      </c>
      <c r="Q304" s="3">
        <f>IF(AND(O304&gt;0;K304&gt;0);P304/K304;"")</f>
        <v/>
      </c>
      <c r="R304" s="2">
        <f>IF(O304="";"";O304-K304-O304*AK304-O304*AD304-IF(AM304&gt;0;AM304;'_Настройки'!$B$9)-AP304-AC304)</f>
        <v/>
      </c>
      <c r="S304" s="3">
        <f>IF(AND(O304&gt;0;K304&gt;0);R304/K304;"")</f>
        <v/>
      </c>
      <c r="T304" s="2" t="n"/>
      <c r="U304" s="3">
        <f>IF(AND(L304&gt;0;T304&gt;0);1-T304/L304;"")</f>
        <v/>
      </c>
      <c r="V304" s="3">
        <f>'_Настройки'!$B$4</f>
        <v/>
      </c>
      <c r="Z304" s="4">
        <f>IF(AND(W304&gt;0;X304&gt;0;Y304&gt;0);W304*X304*Y304/1000;"")</f>
        <v/>
      </c>
      <c r="AB304" s="2">
        <f>('_Настройки'!$B$6+MAX(0;Z304-1)*'_Настройки'!$B$7)*IF(AA304&gt;0;AA304;'_Настройки'!$B$10)</f>
        <v/>
      </c>
      <c r="AC304" s="2">
        <f>AB304*(1+'_Настройки'!$B$8)</f>
        <v/>
      </c>
      <c r="AD304" s="3">
        <f>'_Настройки'!$B$2</f>
        <v/>
      </c>
      <c r="AE304" s="2">
        <f>L304*AD304</f>
        <v/>
      </c>
      <c r="AF304" s="3">
        <f>'_Настройки'!$B$3</f>
        <v/>
      </c>
      <c r="AG304" s="3">
        <f>IFERROR(INDEX('_Комиссия_ВБ'!$B:$B;MATCH(C304;'_Комиссия_ВБ'!$A:$A;0));0,245)</f>
        <v/>
      </c>
      <c r="AH304" s="3">
        <f>AG304+AF304</f>
        <v/>
      </c>
      <c r="AI304" s="2">
        <f>L304*AH304</f>
        <v/>
      </c>
      <c r="AJ304" s="3">
        <f>IFERROR(INDEX('_Комиссия_ВБ'!$C:$C;MATCH(C304;'_Комиссия_ВБ'!$A:$A;0));0,28)</f>
        <v/>
      </c>
      <c r="AK304" s="3">
        <f>AJ304+AF304</f>
        <v/>
      </c>
      <c r="AL304" s="2">
        <f>L304*AK304</f>
        <v/>
      </c>
      <c r="AM304" s="2" t="n"/>
      <c r="AO304" s="3">
        <f>'_Настройки'!$B$5</f>
        <v/>
      </c>
      <c r="AP304" s="2">
        <f>IF(K304&gt;0;K304*AO304;0)</f>
        <v/>
      </c>
      <c r="AQ304" s="2">
        <f>L304-K304-AI304-AE304-IF(AM304&gt;0;AM304;'_Настройки'!$B$9)-AP304-AC304</f>
        <v/>
      </c>
      <c r="AR304" s="3">
        <f>IF(L304&gt;0;AQ304/L304;"")</f>
        <v/>
      </c>
      <c r="AS304" s="3">
        <f>IF(K304&gt;0;AQ304/K304;"")</f>
        <v/>
      </c>
      <c r="AT304" s="2">
        <f>L304-K304-AL304-AE304-IF(AM304&gt;0;AM304;'_Настройки'!$B$9)-AP304-AC304</f>
        <v/>
      </c>
      <c r="AU304" s="3">
        <f>IF(L304&gt;0;AT304/L304;"")</f>
        <v/>
      </c>
      <c r="AV304" s="3">
        <f>IF(K304&gt;0;AT304/K304;"")</f>
        <v/>
      </c>
    </row>
    <row r="305">
      <c r="A305">
        <f>ROW()-1</f>
        <v/>
      </c>
      <c r="K305" s="2">
        <f>IFERROR(INDEX('_Цены_закупки'!$B:$B;MATCH(C305;'_Цены_закупки'!$A:$A;0));"")</f>
        <v/>
      </c>
      <c r="L305" s="2" t="n"/>
      <c r="M305" s="2" t="n"/>
      <c r="N305" s="3">
        <f>IF(AND(M305&gt;0;L305&gt;0);1-L305/M305;"")</f>
        <v/>
      </c>
      <c r="O305" s="2">
        <f>IF(OR(Q305="";K305=0);"";(K305+IF(AM305&gt;0;AM305;'_Настройки'!$B$9)+AP305+AC305+Q305*K305)/(1-AH305-AD305))</f>
        <v/>
      </c>
      <c r="P305" s="2">
        <f>IF(O305="";"";O305-K305-O305*AH305-O305*AD305-IF(AM305&gt;0;AM305;'_Настройки'!$B$9)-AP305-AC305)</f>
        <v/>
      </c>
      <c r="Q305" s="3">
        <f>IF(AND(O305&gt;0;K305&gt;0);P305/K305;"")</f>
        <v/>
      </c>
      <c r="R305" s="2">
        <f>IF(O305="";"";O305-K305-O305*AK305-O305*AD305-IF(AM305&gt;0;AM305;'_Настройки'!$B$9)-AP305-AC305)</f>
        <v/>
      </c>
      <c r="S305" s="3">
        <f>IF(AND(O305&gt;0;K305&gt;0);R305/K305;"")</f>
        <v/>
      </c>
      <c r="T305" s="2" t="n"/>
      <c r="U305" s="3">
        <f>IF(AND(L305&gt;0;T305&gt;0);1-T305/L305;"")</f>
        <v/>
      </c>
      <c r="V305" s="3">
        <f>'_Настройки'!$B$4</f>
        <v/>
      </c>
      <c r="Z305" s="4">
        <f>IF(AND(W305&gt;0;X305&gt;0;Y305&gt;0);W305*X305*Y305/1000;"")</f>
        <v/>
      </c>
      <c r="AB305" s="2">
        <f>('_Настройки'!$B$6+MAX(0;Z305-1)*'_Настройки'!$B$7)*IF(AA305&gt;0;AA305;'_Настройки'!$B$10)</f>
        <v/>
      </c>
      <c r="AC305" s="2">
        <f>AB305*(1+'_Настройки'!$B$8)</f>
        <v/>
      </c>
      <c r="AD305" s="3">
        <f>'_Настройки'!$B$2</f>
        <v/>
      </c>
      <c r="AE305" s="2">
        <f>L305*AD305</f>
        <v/>
      </c>
      <c r="AF305" s="3">
        <f>'_Настройки'!$B$3</f>
        <v/>
      </c>
      <c r="AG305" s="3">
        <f>IFERROR(INDEX('_Комиссия_ВБ'!$B:$B;MATCH(C305;'_Комиссия_ВБ'!$A:$A;0));0,245)</f>
        <v/>
      </c>
      <c r="AH305" s="3">
        <f>AG305+AF305</f>
        <v/>
      </c>
      <c r="AI305" s="2">
        <f>L305*AH305</f>
        <v/>
      </c>
      <c r="AJ305" s="3">
        <f>IFERROR(INDEX('_Комиссия_ВБ'!$C:$C;MATCH(C305;'_Комиссия_ВБ'!$A:$A;0));0,28)</f>
        <v/>
      </c>
      <c r="AK305" s="3">
        <f>AJ305+AF305</f>
        <v/>
      </c>
      <c r="AL305" s="2">
        <f>L305*AK305</f>
        <v/>
      </c>
      <c r="AM305" s="2" t="n"/>
      <c r="AO305" s="3">
        <f>'_Настройки'!$B$5</f>
        <v/>
      </c>
      <c r="AP305" s="2">
        <f>IF(K305&gt;0;K305*AO305;0)</f>
        <v/>
      </c>
      <c r="AQ305" s="2">
        <f>L305-K305-AI305-AE305-IF(AM305&gt;0;AM305;'_Настройки'!$B$9)-AP305-AC305</f>
        <v/>
      </c>
      <c r="AR305" s="3">
        <f>IF(L305&gt;0;AQ305/L305;"")</f>
        <v/>
      </c>
      <c r="AS305" s="3">
        <f>IF(K305&gt;0;AQ305/K305;"")</f>
        <v/>
      </c>
      <c r="AT305" s="2">
        <f>L305-K305-AL305-AE305-IF(AM305&gt;0;AM305;'_Настройки'!$B$9)-AP305-AC305</f>
        <v/>
      </c>
      <c r="AU305" s="3">
        <f>IF(L305&gt;0;AT305/L305;"")</f>
        <v/>
      </c>
      <c r="AV305" s="3">
        <f>IF(K305&gt;0;AT305/K305;"")</f>
        <v/>
      </c>
    </row>
    <row r="306">
      <c r="A306">
        <f>ROW()-1</f>
        <v/>
      </c>
      <c r="K306" s="2">
        <f>IFERROR(INDEX('_Цены_закупки'!$B:$B;MATCH(C306;'_Цены_закупки'!$A:$A;0));"")</f>
        <v/>
      </c>
      <c r="L306" s="2" t="n"/>
      <c r="M306" s="2" t="n"/>
      <c r="N306" s="3">
        <f>IF(AND(M306&gt;0;L306&gt;0);1-L306/M306;"")</f>
        <v/>
      </c>
      <c r="O306" s="2">
        <f>IF(OR(Q306="";K306=0);"";(K306+IF(AM306&gt;0;AM306;'_Настройки'!$B$9)+AP306+AC306+Q306*K306)/(1-AH306-AD306))</f>
        <v/>
      </c>
      <c r="P306" s="2">
        <f>IF(O306="";"";O306-K306-O306*AH306-O306*AD306-IF(AM306&gt;0;AM306;'_Настройки'!$B$9)-AP306-AC306)</f>
        <v/>
      </c>
      <c r="Q306" s="3">
        <f>IF(AND(O306&gt;0;K306&gt;0);P306/K306;"")</f>
        <v/>
      </c>
      <c r="R306" s="2">
        <f>IF(O306="";"";O306-K306-O306*AK306-O306*AD306-IF(AM306&gt;0;AM306;'_Настройки'!$B$9)-AP306-AC306)</f>
        <v/>
      </c>
      <c r="S306" s="3">
        <f>IF(AND(O306&gt;0;K306&gt;0);R306/K306;"")</f>
        <v/>
      </c>
      <c r="T306" s="2" t="n"/>
      <c r="U306" s="3">
        <f>IF(AND(L306&gt;0;T306&gt;0);1-T306/L306;"")</f>
        <v/>
      </c>
      <c r="V306" s="3">
        <f>'_Настройки'!$B$4</f>
        <v/>
      </c>
      <c r="Z306" s="4">
        <f>IF(AND(W306&gt;0;X306&gt;0;Y306&gt;0);W306*X306*Y306/1000;"")</f>
        <v/>
      </c>
      <c r="AB306" s="2">
        <f>('_Настройки'!$B$6+MAX(0;Z306-1)*'_Настройки'!$B$7)*IF(AA306&gt;0;AA306;'_Настройки'!$B$10)</f>
        <v/>
      </c>
      <c r="AC306" s="2">
        <f>AB306*(1+'_Настройки'!$B$8)</f>
        <v/>
      </c>
      <c r="AD306" s="3">
        <f>'_Настройки'!$B$2</f>
        <v/>
      </c>
      <c r="AE306" s="2">
        <f>L306*AD306</f>
        <v/>
      </c>
      <c r="AF306" s="3">
        <f>'_Настройки'!$B$3</f>
        <v/>
      </c>
      <c r="AG306" s="3">
        <f>IFERROR(INDEX('_Комиссия_ВБ'!$B:$B;MATCH(C306;'_Комиссия_ВБ'!$A:$A;0));0,245)</f>
        <v/>
      </c>
      <c r="AH306" s="3">
        <f>AG306+AF306</f>
        <v/>
      </c>
      <c r="AI306" s="2">
        <f>L306*AH306</f>
        <v/>
      </c>
      <c r="AJ306" s="3">
        <f>IFERROR(INDEX('_Комиссия_ВБ'!$C:$C;MATCH(C306;'_Комиссия_ВБ'!$A:$A;0));0,28)</f>
        <v/>
      </c>
      <c r="AK306" s="3">
        <f>AJ306+AF306</f>
        <v/>
      </c>
      <c r="AL306" s="2">
        <f>L306*AK306</f>
        <v/>
      </c>
      <c r="AM306" s="2" t="n"/>
      <c r="AO306" s="3">
        <f>'_Настройки'!$B$5</f>
        <v/>
      </c>
      <c r="AP306" s="2">
        <f>IF(K306&gt;0;K306*AO306;0)</f>
        <v/>
      </c>
      <c r="AQ306" s="2">
        <f>L306-K306-AI306-AE306-IF(AM306&gt;0;AM306;'_Настройки'!$B$9)-AP306-AC306</f>
        <v/>
      </c>
      <c r="AR306" s="3">
        <f>IF(L306&gt;0;AQ306/L306;"")</f>
        <v/>
      </c>
      <c r="AS306" s="3">
        <f>IF(K306&gt;0;AQ306/K306;"")</f>
        <v/>
      </c>
      <c r="AT306" s="2">
        <f>L306-K306-AL306-AE306-IF(AM306&gt;0;AM306;'_Настройки'!$B$9)-AP306-AC306</f>
        <v/>
      </c>
      <c r="AU306" s="3">
        <f>IF(L306&gt;0;AT306/L306;"")</f>
        <v/>
      </c>
      <c r="AV306" s="3">
        <f>IF(K306&gt;0;AT306/K306;"")</f>
        <v/>
      </c>
    </row>
    <row r="307">
      <c r="A307">
        <f>ROW()-1</f>
        <v/>
      </c>
      <c r="K307" s="2">
        <f>IFERROR(INDEX('_Цены_закупки'!$B:$B;MATCH(C307;'_Цены_закупки'!$A:$A;0));"")</f>
        <v/>
      </c>
      <c r="L307" s="2" t="n"/>
      <c r="M307" s="2" t="n"/>
      <c r="N307" s="3">
        <f>IF(AND(M307&gt;0;L307&gt;0);1-L307/M307;"")</f>
        <v/>
      </c>
      <c r="O307" s="2">
        <f>IF(OR(Q307="";K307=0);"";(K307+IF(AM307&gt;0;AM307;'_Настройки'!$B$9)+AP307+AC307+Q307*K307)/(1-AH307-AD307))</f>
        <v/>
      </c>
      <c r="P307" s="2">
        <f>IF(O307="";"";O307-K307-O307*AH307-O307*AD307-IF(AM307&gt;0;AM307;'_Настройки'!$B$9)-AP307-AC307)</f>
        <v/>
      </c>
      <c r="Q307" s="3">
        <f>IF(AND(O307&gt;0;K307&gt;0);P307/K307;"")</f>
        <v/>
      </c>
      <c r="R307" s="2">
        <f>IF(O307="";"";O307-K307-O307*AK307-O307*AD307-IF(AM307&gt;0;AM307;'_Настройки'!$B$9)-AP307-AC307)</f>
        <v/>
      </c>
      <c r="S307" s="3">
        <f>IF(AND(O307&gt;0;K307&gt;0);R307/K307;"")</f>
        <v/>
      </c>
      <c r="T307" s="2" t="n"/>
      <c r="U307" s="3">
        <f>IF(AND(L307&gt;0;T307&gt;0);1-T307/L307;"")</f>
        <v/>
      </c>
      <c r="V307" s="3">
        <f>'_Настройки'!$B$4</f>
        <v/>
      </c>
      <c r="Z307" s="4">
        <f>IF(AND(W307&gt;0;X307&gt;0;Y307&gt;0);W307*X307*Y307/1000;"")</f>
        <v/>
      </c>
      <c r="AB307" s="2">
        <f>('_Настройки'!$B$6+MAX(0;Z307-1)*'_Настройки'!$B$7)*IF(AA307&gt;0;AA307;'_Настройки'!$B$10)</f>
        <v/>
      </c>
      <c r="AC307" s="2">
        <f>AB307*(1+'_Настройки'!$B$8)</f>
        <v/>
      </c>
      <c r="AD307" s="3">
        <f>'_Настройки'!$B$2</f>
        <v/>
      </c>
      <c r="AE307" s="2">
        <f>L307*AD307</f>
        <v/>
      </c>
      <c r="AF307" s="3">
        <f>'_Настройки'!$B$3</f>
        <v/>
      </c>
      <c r="AG307" s="3">
        <f>IFERROR(INDEX('_Комиссия_ВБ'!$B:$B;MATCH(C307;'_Комиссия_ВБ'!$A:$A;0));0,245)</f>
        <v/>
      </c>
      <c r="AH307" s="3">
        <f>AG307+AF307</f>
        <v/>
      </c>
      <c r="AI307" s="2">
        <f>L307*AH307</f>
        <v/>
      </c>
      <c r="AJ307" s="3">
        <f>IFERROR(INDEX('_Комиссия_ВБ'!$C:$C;MATCH(C307;'_Комиссия_ВБ'!$A:$A;0));0,28)</f>
        <v/>
      </c>
      <c r="AK307" s="3">
        <f>AJ307+AF307</f>
        <v/>
      </c>
      <c r="AL307" s="2">
        <f>L307*AK307</f>
        <v/>
      </c>
      <c r="AM307" s="2" t="n"/>
      <c r="AO307" s="3">
        <f>'_Настройки'!$B$5</f>
        <v/>
      </c>
      <c r="AP307" s="2">
        <f>IF(K307&gt;0;K307*AO307;0)</f>
        <v/>
      </c>
      <c r="AQ307" s="2">
        <f>L307-K307-AI307-AE307-IF(AM307&gt;0;AM307;'_Настройки'!$B$9)-AP307-AC307</f>
        <v/>
      </c>
      <c r="AR307" s="3">
        <f>IF(L307&gt;0;AQ307/L307;"")</f>
        <v/>
      </c>
      <c r="AS307" s="3">
        <f>IF(K307&gt;0;AQ307/K307;"")</f>
        <v/>
      </c>
      <c r="AT307" s="2">
        <f>L307-K307-AL307-AE307-IF(AM307&gt;0;AM307;'_Настройки'!$B$9)-AP307-AC307</f>
        <v/>
      </c>
      <c r="AU307" s="3">
        <f>IF(L307&gt;0;AT307/L307;"")</f>
        <v/>
      </c>
      <c r="AV307" s="3">
        <f>IF(K307&gt;0;AT307/K307;"")</f>
        <v/>
      </c>
    </row>
    <row r="308">
      <c r="A308">
        <f>ROW()-1</f>
        <v/>
      </c>
      <c r="K308" s="2">
        <f>IFERROR(INDEX('_Цены_закупки'!$B:$B;MATCH(C308;'_Цены_закупки'!$A:$A;0));"")</f>
        <v/>
      </c>
      <c r="L308" s="2" t="n"/>
      <c r="M308" s="2" t="n"/>
      <c r="N308" s="3">
        <f>IF(AND(M308&gt;0;L308&gt;0);1-L308/M308;"")</f>
        <v/>
      </c>
      <c r="O308" s="2">
        <f>IF(OR(Q308="";K308=0);"";(K308+IF(AM308&gt;0;AM308;'_Настройки'!$B$9)+AP308+AC308+Q308*K308)/(1-AH308-AD308))</f>
        <v/>
      </c>
      <c r="P308" s="2">
        <f>IF(O308="";"";O308-K308-O308*AH308-O308*AD308-IF(AM308&gt;0;AM308;'_Настройки'!$B$9)-AP308-AC308)</f>
        <v/>
      </c>
      <c r="Q308" s="3">
        <f>IF(AND(O308&gt;0;K308&gt;0);P308/K308;"")</f>
        <v/>
      </c>
      <c r="R308" s="2">
        <f>IF(O308="";"";O308-K308-O308*AK308-O308*AD308-IF(AM308&gt;0;AM308;'_Настройки'!$B$9)-AP308-AC308)</f>
        <v/>
      </c>
      <c r="S308" s="3">
        <f>IF(AND(O308&gt;0;K308&gt;0);R308/K308;"")</f>
        <v/>
      </c>
      <c r="T308" s="2" t="n"/>
      <c r="U308" s="3">
        <f>IF(AND(L308&gt;0;T308&gt;0);1-T308/L308;"")</f>
        <v/>
      </c>
      <c r="V308" s="3">
        <f>'_Настройки'!$B$4</f>
        <v/>
      </c>
      <c r="Z308" s="4">
        <f>IF(AND(W308&gt;0;X308&gt;0;Y308&gt;0);W308*X308*Y308/1000;"")</f>
        <v/>
      </c>
      <c r="AB308" s="2">
        <f>('_Настройки'!$B$6+MAX(0;Z308-1)*'_Настройки'!$B$7)*IF(AA308&gt;0;AA308;'_Настройки'!$B$10)</f>
        <v/>
      </c>
      <c r="AC308" s="2">
        <f>AB308*(1+'_Настройки'!$B$8)</f>
        <v/>
      </c>
      <c r="AD308" s="3">
        <f>'_Настройки'!$B$2</f>
        <v/>
      </c>
      <c r="AE308" s="2">
        <f>L308*AD308</f>
        <v/>
      </c>
      <c r="AF308" s="3">
        <f>'_Настройки'!$B$3</f>
        <v/>
      </c>
      <c r="AG308" s="3">
        <f>IFERROR(INDEX('_Комиссия_ВБ'!$B:$B;MATCH(C308;'_Комиссия_ВБ'!$A:$A;0));0,245)</f>
        <v/>
      </c>
      <c r="AH308" s="3">
        <f>AG308+AF308</f>
        <v/>
      </c>
      <c r="AI308" s="2">
        <f>L308*AH308</f>
        <v/>
      </c>
      <c r="AJ308" s="3">
        <f>IFERROR(INDEX('_Комиссия_ВБ'!$C:$C;MATCH(C308;'_Комиссия_ВБ'!$A:$A;0));0,28)</f>
        <v/>
      </c>
      <c r="AK308" s="3">
        <f>AJ308+AF308</f>
        <v/>
      </c>
      <c r="AL308" s="2">
        <f>L308*AK308</f>
        <v/>
      </c>
      <c r="AM308" s="2" t="n"/>
      <c r="AO308" s="3">
        <f>'_Настройки'!$B$5</f>
        <v/>
      </c>
      <c r="AP308" s="2">
        <f>IF(K308&gt;0;K308*AO308;0)</f>
        <v/>
      </c>
      <c r="AQ308" s="2">
        <f>L308-K308-AI308-AE308-IF(AM308&gt;0;AM308;'_Настройки'!$B$9)-AP308-AC308</f>
        <v/>
      </c>
      <c r="AR308" s="3">
        <f>IF(L308&gt;0;AQ308/L308;"")</f>
        <v/>
      </c>
      <c r="AS308" s="3">
        <f>IF(K308&gt;0;AQ308/K308;"")</f>
        <v/>
      </c>
      <c r="AT308" s="2">
        <f>L308-K308-AL308-AE308-IF(AM308&gt;0;AM308;'_Настройки'!$B$9)-AP308-AC308</f>
        <v/>
      </c>
      <c r="AU308" s="3">
        <f>IF(L308&gt;0;AT308/L308;"")</f>
        <v/>
      </c>
      <c r="AV308" s="3">
        <f>IF(K308&gt;0;AT308/K308;"")</f>
        <v/>
      </c>
    </row>
    <row r="309">
      <c r="A309">
        <f>ROW()-1</f>
        <v/>
      </c>
      <c r="K309" s="2">
        <f>IFERROR(INDEX('_Цены_закупки'!$B:$B;MATCH(C309;'_Цены_закупки'!$A:$A;0));"")</f>
        <v/>
      </c>
      <c r="L309" s="2" t="n"/>
      <c r="M309" s="2" t="n"/>
      <c r="N309" s="3">
        <f>IF(AND(M309&gt;0;L309&gt;0);1-L309/M309;"")</f>
        <v/>
      </c>
      <c r="O309" s="2">
        <f>IF(OR(Q309="";K309=0);"";(K309+IF(AM309&gt;0;AM309;'_Настройки'!$B$9)+AP309+AC309+Q309*K309)/(1-AH309-AD309))</f>
        <v/>
      </c>
      <c r="P309" s="2">
        <f>IF(O309="";"";O309-K309-O309*AH309-O309*AD309-IF(AM309&gt;0;AM309;'_Настройки'!$B$9)-AP309-AC309)</f>
        <v/>
      </c>
      <c r="Q309" s="3">
        <f>IF(AND(O309&gt;0;K309&gt;0);P309/K309;"")</f>
        <v/>
      </c>
      <c r="R309" s="2">
        <f>IF(O309="";"";O309-K309-O309*AK309-O309*AD309-IF(AM309&gt;0;AM309;'_Настройки'!$B$9)-AP309-AC309)</f>
        <v/>
      </c>
      <c r="S309" s="3">
        <f>IF(AND(O309&gt;0;K309&gt;0);R309/K309;"")</f>
        <v/>
      </c>
      <c r="T309" s="2" t="n"/>
      <c r="U309" s="3">
        <f>IF(AND(L309&gt;0;T309&gt;0);1-T309/L309;"")</f>
        <v/>
      </c>
      <c r="V309" s="3">
        <f>'_Настройки'!$B$4</f>
        <v/>
      </c>
      <c r="Z309" s="4">
        <f>IF(AND(W309&gt;0;X309&gt;0;Y309&gt;0);W309*X309*Y309/1000;"")</f>
        <v/>
      </c>
      <c r="AB309" s="2">
        <f>('_Настройки'!$B$6+MAX(0;Z309-1)*'_Настройки'!$B$7)*IF(AA309&gt;0;AA309;'_Настройки'!$B$10)</f>
        <v/>
      </c>
      <c r="AC309" s="2">
        <f>AB309*(1+'_Настройки'!$B$8)</f>
        <v/>
      </c>
      <c r="AD309" s="3">
        <f>'_Настройки'!$B$2</f>
        <v/>
      </c>
      <c r="AE309" s="2">
        <f>L309*AD309</f>
        <v/>
      </c>
      <c r="AF309" s="3">
        <f>'_Настройки'!$B$3</f>
        <v/>
      </c>
      <c r="AG309" s="3">
        <f>IFERROR(INDEX('_Комиссия_ВБ'!$B:$B;MATCH(C309;'_Комиссия_ВБ'!$A:$A;0));0,245)</f>
        <v/>
      </c>
      <c r="AH309" s="3">
        <f>AG309+AF309</f>
        <v/>
      </c>
      <c r="AI309" s="2">
        <f>L309*AH309</f>
        <v/>
      </c>
      <c r="AJ309" s="3">
        <f>IFERROR(INDEX('_Комиссия_ВБ'!$C:$C;MATCH(C309;'_Комиссия_ВБ'!$A:$A;0));0,28)</f>
        <v/>
      </c>
      <c r="AK309" s="3">
        <f>AJ309+AF309</f>
        <v/>
      </c>
      <c r="AL309" s="2">
        <f>L309*AK309</f>
        <v/>
      </c>
      <c r="AM309" s="2" t="n"/>
      <c r="AO309" s="3">
        <f>'_Настройки'!$B$5</f>
        <v/>
      </c>
      <c r="AP309" s="2">
        <f>IF(K309&gt;0;K309*AO309;0)</f>
        <v/>
      </c>
      <c r="AQ309" s="2">
        <f>L309-K309-AI309-AE309-IF(AM309&gt;0;AM309;'_Настройки'!$B$9)-AP309-AC309</f>
        <v/>
      </c>
      <c r="AR309" s="3">
        <f>IF(L309&gt;0;AQ309/L309;"")</f>
        <v/>
      </c>
      <c r="AS309" s="3">
        <f>IF(K309&gt;0;AQ309/K309;"")</f>
        <v/>
      </c>
      <c r="AT309" s="2">
        <f>L309-K309-AL309-AE309-IF(AM309&gt;0;AM309;'_Настройки'!$B$9)-AP309-AC309</f>
        <v/>
      </c>
      <c r="AU309" s="3">
        <f>IF(L309&gt;0;AT309/L309;"")</f>
        <v/>
      </c>
      <c r="AV309" s="3">
        <f>IF(K309&gt;0;AT309/K309;"")</f>
        <v/>
      </c>
    </row>
    <row r="310">
      <c r="A310">
        <f>ROW()-1</f>
        <v/>
      </c>
      <c r="K310" s="2">
        <f>IFERROR(INDEX('_Цены_закупки'!$B:$B;MATCH(C310;'_Цены_закупки'!$A:$A;0));"")</f>
        <v/>
      </c>
      <c r="L310" s="2" t="n"/>
      <c r="M310" s="2" t="n"/>
      <c r="N310" s="3">
        <f>IF(AND(M310&gt;0;L310&gt;0);1-L310/M310;"")</f>
        <v/>
      </c>
      <c r="O310" s="2">
        <f>IF(OR(Q310="";K310=0);"";(K310+IF(AM310&gt;0;AM310;'_Настройки'!$B$9)+AP310+AC310+Q310*K310)/(1-AH310-AD310))</f>
        <v/>
      </c>
      <c r="P310" s="2">
        <f>IF(O310="";"";O310-K310-O310*AH310-O310*AD310-IF(AM310&gt;0;AM310;'_Настройки'!$B$9)-AP310-AC310)</f>
        <v/>
      </c>
      <c r="Q310" s="3">
        <f>IF(AND(O310&gt;0;K310&gt;0);P310/K310;"")</f>
        <v/>
      </c>
      <c r="R310" s="2">
        <f>IF(O310="";"";O310-K310-O310*AK310-O310*AD310-IF(AM310&gt;0;AM310;'_Настройки'!$B$9)-AP310-AC310)</f>
        <v/>
      </c>
      <c r="S310" s="3">
        <f>IF(AND(O310&gt;0;K310&gt;0);R310/K310;"")</f>
        <v/>
      </c>
      <c r="T310" s="2" t="n"/>
      <c r="U310" s="3">
        <f>IF(AND(L310&gt;0;T310&gt;0);1-T310/L310;"")</f>
        <v/>
      </c>
      <c r="V310" s="3">
        <f>'_Настройки'!$B$4</f>
        <v/>
      </c>
      <c r="Z310" s="4">
        <f>IF(AND(W310&gt;0;X310&gt;0;Y310&gt;0);W310*X310*Y310/1000;"")</f>
        <v/>
      </c>
      <c r="AB310" s="2">
        <f>('_Настройки'!$B$6+MAX(0;Z310-1)*'_Настройки'!$B$7)*IF(AA310&gt;0;AA310;'_Настройки'!$B$10)</f>
        <v/>
      </c>
      <c r="AC310" s="2">
        <f>AB310*(1+'_Настройки'!$B$8)</f>
        <v/>
      </c>
      <c r="AD310" s="3">
        <f>'_Настройки'!$B$2</f>
        <v/>
      </c>
      <c r="AE310" s="2">
        <f>L310*AD310</f>
        <v/>
      </c>
      <c r="AF310" s="3">
        <f>'_Настройки'!$B$3</f>
        <v/>
      </c>
      <c r="AG310" s="3">
        <f>IFERROR(INDEX('_Комиссия_ВБ'!$B:$B;MATCH(C310;'_Комиссия_ВБ'!$A:$A;0));0,245)</f>
        <v/>
      </c>
      <c r="AH310" s="3">
        <f>AG310+AF310</f>
        <v/>
      </c>
      <c r="AI310" s="2">
        <f>L310*AH310</f>
        <v/>
      </c>
      <c r="AJ310" s="3">
        <f>IFERROR(INDEX('_Комиссия_ВБ'!$C:$C;MATCH(C310;'_Комиссия_ВБ'!$A:$A;0));0,28)</f>
        <v/>
      </c>
      <c r="AK310" s="3">
        <f>AJ310+AF310</f>
        <v/>
      </c>
      <c r="AL310" s="2">
        <f>L310*AK310</f>
        <v/>
      </c>
      <c r="AM310" s="2" t="n"/>
      <c r="AO310" s="3">
        <f>'_Настройки'!$B$5</f>
        <v/>
      </c>
      <c r="AP310" s="2">
        <f>IF(K310&gt;0;K310*AO310;0)</f>
        <v/>
      </c>
      <c r="AQ310" s="2">
        <f>L310-K310-AI310-AE310-IF(AM310&gt;0;AM310;'_Настройки'!$B$9)-AP310-AC310</f>
        <v/>
      </c>
      <c r="AR310" s="3">
        <f>IF(L310&gt;0;AQ310/L310;"")</f>
        <v/>
      </c>
      <c r="AS310" s="3">
        <f>IF(K310&gt;0;AQ310/K310;"")</f>
        <v/>
      </c>
      <c r="AT310" s="2">
        <f>L310-K310-AL310-AE310-IF(AM310&gt;0;AM310;'_Настройки'!$B$9)-AP310-AC310</f>
        <v/>
      </c>
      <c r="AU310" s="3">
        <f>IF(L310&gt;0;AT310/L310;"")</f>
        <v/>
      </c>
      <c r="AV310" s="3">
        <f>IF(K310&gt;0;AT310/K310;"")</f>
        <v/>
      </c>
    </row>
    <row r="311">
      <c r="A311">
        <f>ROW()-1</f>
        <v/>
      </c>
      <c r="K311" s="2">
        <f>IFERROR(INDEX('_Цены_закупки'!$B:$B;MATCH(C311;'_Цены_закупки'!$A:$A;0));"")</f>
        <v/>
      </c>
      <c r="L311" s="2" t="n"/>
      <c r="M311" s="2" t="n"/>
      <c r="N311" s="3">
        <f>IF(AND(M311&gt;0;L311&gt;0);1-L311/M311;"")</f>
        <v/>
      </c>
      <c r="O311" s="2">
        <f>IF(OR(Q311="";K311=0);"";(K311+IF(AM311&gt;0;AM311;'_Настройки'!$B$9)+AP311+AC311+Q311*K311)/(1-AH311-AD311))</f>
        <v/>
      </c>
      <c r="P311" s="2">
        <f>IF(O311="";"";O311-K311-O311*AH311-O311*AD311-IF(AM311&gt;0;AM311;'_Настройки'!$B$9)-AP311-AC311)</f>
        <v/>
      </c>
      <c r="Q311" s="3">
        <f>IF(AND(O311&gt;0;K311&gt;0);P311/K311;"")</f>
        <v/>
      </c>
      <c r="R311" s="2">
        <f>IF(O311="";"";O311-K311-O311*AK311-O311*AD311-IF(AM311&gt;0;AM311;'_Настройки'!$B$9)-AP311-AC311)</f>
        <v/>
      </c>
      <c r="S311" s="3">
        <f>IF(AND(O311&gt;0;K311&gt;0);R311/K311;"")</f>
        <v/>
      </c>
      <c r="T311" s="2" t="n"/>
      <c r="U311" s="3">
        <f>IF(AND(L311&gt;0;T311&gt;0);1-T311/L311;"")</f>
        <v/>
      </c>
      <c r="V311" s="3">
        <f>'_Настройки'!$B$4</f>
        <v/>
      </c>
      <c r="Z311" s="4">
        <f>IF(AND(W311&gt;0;X311&gt;0;Y311&gt;0);W311*X311*Y311/1000;"")</f>
        <v/>
      </c>
      <c r="AB311" s="2">
        <f>('_Настройки'!$B$6+MAX(0;Z311-1)*'_Настройки'!$B$7)*IF(AA311&gt;0;AA311;'_Настройки'!$B$10)</f>
        <v/>
      </c>
      <c r="AC311" s="2">
        <f>AB311*(1+'_Настройки'!$B$8)</f>
        <v/>
      </c>
      <c r="AD311" s="3">
        <f>'_Настройки'!$B$2</f>
        <v/>
      </c>
      <c r="AE311" s="2">
        <f>L311*AD311</f>
        <v/>
      </c>
      <c r="AF311" s="3">
        <f>'_Настройки'!$B$3</f>
        <v/>
      </c>
      <c r="AG311" s="3">
        <f>IFERROR(INDEX('_Комиссия_ВБ'!$B:$B;MATCH(C311;'_Комиссия_ВБ'!$A:$A;0));0,245)</f>
        <v/>
      </c>
      <c r="AH311" s="3">
        <f>AG311+AF311</f>
        <v/>
      </c>
      <c r="AI311" s="2">
        <f>L311*AH311</f>
        <v/>
      </c>
      <c r="AJ311" s="3">
        <f>IFERROR(INDEX('_Комиссия_ВБ'!$C:$C;MATCH(C311;'_Комиссия_ВБ'!$A:$A;0));0,28)</f>
        <v/>
      </c>
      <c r="AK311" s="3">
        <f>AJ311+AF311</f>
        <v/>
      </c>
      <c r="AL311" s="2">
        <f>L311*AK311</f>
        <v/>
      </c>
      <c r="AM311" s="2" t="n"/>
      <c r="AO311" s="3">
        <f>'_Настройки'!$B$5</f>
        <v/>
      </c>
      <c r="AP311" s="2">
        <f>IF(K311&gt;0;K311*AO311;0)</f>
        <v/>
      </c>
      <c r="AQ311" s="2">
        <f>L311-K311-AI311-AE311-IF(AM311&gt;0;AM311;'_Настройки'!$B$9)-AP311-AC311</f>
        <v/>
      </c>
      <c r="AR311" s="3">
        <f>IF(L311&gt;0;AQ311/L311;"")</f>
        <v/>
      </c>
      <c r="AS311" s="3">
        <f>IF(K311&gt;0;AQ311/K311;"")</f>
        <v/>
      </c>
      <c r="AT311" s="2">
        <f>L311-K311-AL311-AE311-IF(AM311&gt;0;AM311;'_Настройки'!$B$9)-AP311-AC311</f>
        <v/>
      </c>
      <c r="AU311" s="3">
        <f>IF(L311&gt;0;AT311/L311;"")</f>
        <v/>
      </c>
      <c r="AV311" s="3">
        <f>IF(K311&gt;0;AT311/K311;"")</f>
        <v/>
      </c>
    </row>
    <row r="312">
      <c r="A312">
        <f>ROW()-1</f>
        <v/>
      </c>
      <c r="K312" s="2">
        <f>IFERROR(INDEX('_Цены_закупки'!$B:$B;MATCH(C312;'_Цены_закупки'!$A:$A;0));"")</f>
        <v/>
      </c>
      <c r="L312" s="2" t="n"/>
      <c r="M312" s="2" t="n"/>
      <c r="N312" s="3">
        <f>IF(AND(M312&gt;0;L312&gt;0);1-L312/M312;"")</f>
        <v/>
      </c>
      <c r="O312" s="2">
        <f>IF(OR(Q312="";K312=0);"";(K312+IF(AM312&gt;0;AM312;'_Настройки'!$B$9)+AP312+AC312+Q312*K312)/(1-AH312-AD312))</f>
        <v/>
      </c>
      <c r="P312" s="2">
        <f>IF(O312="";"";O312-K312-O312*AH312-O312*AD312-IF(AM312&gt;0;AM312;'_Настройки'!$B$9)-AP312-AC312)</f>
        <v/>
      </c>
      <c r="Q312" s="3">
        <f>IF(AND(O312&gt;0;K312&gt;0);P312/K312;"")</f>
        <v/>
      </c>
      <c r="R312" s="2">
        <f>IF(O312="";"";O312-K312-O312*AK312-O312*AD312-IF(AM312&gt;0;AM312;'_Настройки'!$B$9)-AP312-AC312)</f>
        <v/>
      </c>
      <c r="S312" s="3">
        <f>IF(AND(O312&gt;0;K312&gt;0);R312/K312;"")</f>
        <v/>
      </c>
      <c r="T312" s="2" t="n"/>
      <c r="U312" s="3">
        <f>IF(AND(L312&gt;0;T312&gt;0);1-T312/L312;"")</f>
        <v/>
      </c>
      <c r="V312" s="3">
        <f>'_Настройки'!$B$4</f>
        <v/>
      </c>
      <c r="Z312" s="4">
        <f>IF(AND(W312&gt;0;X312&gt;0;Y312&gt;0);W312*X312*Y312/1000;"")</f>
        <v/>
      </c>
      <c r="AB312" s="2">
        <f>('_Настройки'!$B$6+MAX(0;Z312-1)*'_Настройки'!$B$7)*IF(AA312&gt;0;AA312;'_Настройки'!$B$10)</f>
        <v/>
      </c>
      <c r="AC312" s="2">
        <f>AB312*(1+'_Настройки'!$B$8)</f>
        <v/>
      </c>
      <c r="AD312" s="3">
        <f>'_Настройки'!$B$2</f>
        <v/>
      </c>
      <c r="AE312" s="2">
        <f>L312*AD312</f>
        <v/>
      </c>
      <c r="AF312" s="3">
        <f>'_Настройки'!$B$3</f>
        <v/>
      </c>
      <c r="AG312" s="3">
        <f>IFERROR(INDEX('_Комиссия_ВБ'!$B:$B;MATCH(C312;'_Комиссия_ВБ'!$A:$A;0));0,245)</f>
        <v/>
      </c>
      <c r="AH312" s="3">
        <f>AG312+AF312</f>
        <v/>
      </c>
      <c r="AI312" s="2">
        <f>L312*AH312</f>
        <v/>
      </c>
      <c r="AJ312" s="3">
        <f>IFERROR(INDEX('_Комиссия_ВБ'!$C:$C;MATCH(C312;'_Комиссия_ВБ'!$A:$A;0));0,28)</f>
        <v/>
      </c>
      <c r="AK312" s="3">
        <f>AJ312+AF312</f>
        <v/>
      </c>
      <c r="AL312" s="2">
        <f>L312*AK312</f>
        <v/>
      </c>
      <c r="AM312" s="2" t="n"/>
      <c r="AO312" s="3">
        <f>'_Настройки'!$B$5</f>
        <v/>
      </c>
      <c r="AP312" s="2">
        <f>IF(K312&gt;0;K312*AO312;0)</f>
        <v/>
      </c>
      <c r="AQ312" s="2">
        <f>L312-K312-AI312-AE312-IF(AM312&gt;0;AM312;'_Настройки'!$B$9)-AP312-AC312</f>
        <v/>
      </c>
      <c r="AR312" s="3">
        <f>IF(L312&gt;0;AQ312/L312;"")</f>
        <v/>
      </c>
      <c r="AS312" s="3">
        <f>IF(K312&gt;0;AQ312/K312;"")</f>
        <v/>
      </c>
      <c r="AT312" s="2">
        <f>L312-K312-AL312-AE312-IF(AM312&gt;0;AM312;'_Настройки'!$B$9)-AP312-AC312</f>
        <v/>
      </c>
      <c r="AU312" s="3">
        <f>IF(L312&gt;0;AT312/L312;"")</f>
        <v/>
      </c>
      <c r="AV312" s="3">
        <f>IF(K312&gt;0;AT312/K312;"")</f>
        <v/>
      </c>
    </row>
    <row r="313">
      <c r="A313">
        <f>ROW()-1</f>
        <v/>
      </c>
      <c r="K313" s="2">
        <f>IFERROR(INDEX('_Цены_закупки'!$B:$B;MATCH(C313;'_Цены_закупки'!$A:$A;0));"")</f>
        <v/>
      </c>
      <c r="L313" s="2" t="n"/>
      <c r="M313" s="2" t="n"/>
      <c r="N313" s="3">
        <f>IF(AND(M313&gt;0;L313&gt;0);1-L313/M313;"")</f>
        <v/>
      </c>
      <c r="O313" s="2">
        <f>IF(OR(Q313="";K313=0);"";(K313+IF(AM313&gt;0;AM313;'_Настройки'!$B$9)+AP313+AC313+Q313*K313)/(1-AH313-AD313))</f>
        <v/>
      </c>
      <c r="P313" s="2">
        <f>IF(O313="";"";O313-K313-O313*AH313-O313*AD313-IF(AM313&gt;0;AM313;'_Настройки'!$B$9)-AP313-AC313)</f>
        <v/>
      </c>
      <c r="Q313" s="3">
        <f>IF(AND(O313&gt;0;K313&gt;0);P313/K313;"")</f>
        <v/>
      </c>
      <c r="R313" s="2">
        <f>IF(O313="";"";O313-K313-O313*AK313-O313*AD313-IF(AM313&gt;0;AM313;'_Настройки'!$B$9)-AP313-AC313)</f>
        <v/>
      </c>
      <c r="S313" s="3">
        <f>IF(AND(O313&gt;0;K313&gt;0);R313/K313;"")</f>
        <v/>
      </c>
      <c r="T313" s="2" t="n"/>
      <c r="U313" s="3">
        <f>IF(AND(L313&gt;0;T313&gt;0);1-T313/L313;"")</f>
        <v/>
      </c>
      <c r="V313" s="3">
        <f>'_Настройки'!$B$4</f>
        <v/>
      </c>
      <c r="Z313" s="4">
        <f>IF(AND(W313&gt;0;X313&gt;0;Y313&gt;0);W313*X313*Y313/1000;"")</f>
        <v/>
      </c>
      <c r="AB313" s="2">
        <f>('_Настройки'!$B$6+MAX(0;Z313-1)*'_Настройки'!$B$7)*IF(AA313&gt;0;AA313;'_Настройки'!$B$10)</f>
        <v/>
      </c>
      <c r="AC313" s="2">
        <f>AB313*(1+'_Настройки'!$B$8)</f>
        <v/>
      </c>
      <c r="AD313" s="3">
        <f>'_Настройки'!$B$2</f>
        <v/>
      </c>
      <c r="AE313" s="2">
        <f>L313*AD313</f>
        <v/>
      </c>
      <c r="AF313" s="3">
        <f>'_Настройки'!$B$3</f>
        <v/>
      </c>
      <c r="AG313" s="3">
        <f>IFERROR(INDEX('_Комиссия_ВБ'!$B:$B;MATCH(C313;'_Комиссия_ВБ'!$A:$A;0));0,245)</f>
        <v/>
      </c>
      <c r="AH313" s="3">
        <f>AG313+AF313</f>
        <v/>
      </c>
      <c r="AI313" s="2">
        <f>L313*AH313</f>
        <v/>
      </c>
      <c r="AJ313" s="3">
        <f>IFERROR(INDEX('_Комиссия_ВБ'!$C:$C;MATCH(C313;'_Комиссия_ВБ'!$A:$A;0));0,28)</f>
        <v/>
      </c>
      <c r="AK313" s="3">
        <f>AJ313+AF313</f>
        <v/>
      </c>
      <c r="AL313" s="2">
        <f>L313*AK313</f>
        <v/>
      </c>
      <c r="AM313" s="2" t="n"/>
      <c r="AO313" s="3">
        <f>'_Настройки'!$B$5</f>
        <v/>
      </c>
      <c r="AP313" s="2">
        <f>IF(K313&gt;0;K313*AO313;0)</f>
        <v/>
      </c>
      <c r="AQ313" s="2">
        <f>L313-K313-AI313-AE313-IF(AM313&gt;0;AM313;'_Настройки'!$B$9)-AP313-AC313</f>
        <v/>
      </c>
      <c r="AR313" s="3">
        <f>IF(L313&gt;0;AQ313/L313;"")</f>
        <v/>
      </c>
      <c r="AS313" s="3">
        <f>IF(K313&gt;0;AQ313/K313;"")</f>
        <v/>
      </c>
      <c r="AT313" s="2">
        <f>L313-K313-AL313-AE313-IF(AM313&gt;0;AM313;'_Настройки'!$B$9)-AP313-AC313</f>
        <v/>
      </c>
      <c r="AU313" s="3">
        <f>IF(L313&gt;0;AT313/L313;"")</f>
        <v/>
      </c>
      <c r="AV313" s="3">
        <f>IF(K313&gt;0;AT313/K313;"")</f>
        <v/>
      </c>
    </row>
    <row r="314">
      <c r="A314">
        <f>ROW()-1</f>
        <v/>
      </c>
      <c r="K314" s="2">
        <f>IFERROR(INDEX('_Цены_закупки'!$B:$B;MATCH(C314;'_Цены_закупки'!$A:$A;0));"")</f>
        <v/>
      </c>
      <c r="L314" s="2" t="n"/>
      <c r="M314" s="2" t="n"/>
      <c r="N314" s="3">
        <f>IF(AND(M314&gt;0;L314&gt;0);1-L314/M314;"")</f>
        <v/>
      </c>
      <c r="O314" s="2">
        <f>IF(OR(Q314="";K314=0);"";(K314+IF(AM314&gt;0;AM314;'_Настройки'!$B$9)+AP314+AC314+Q314*K314)/(1-AH314-AD314))</f>
        <v/>
      </c>
      <c r="P314" s="2">
        <f>IF(O314="";"";O314-K314-O314*AH314-O314*AD314-IF(AM314&gt;0;AM314;'_Настройки'!$B$9)-AP314-AC314)</f>
        <v/>
      </c>
      <c r="Q314" s="3">
        <f>IF(AND(O314&gt;0;K314&gt;0);P314/K314;"")</f>
        <v/>
      </c>
      <c r="R314" s="2">
        <f>IF(O314="";"";O314-K314-O314*AK314-O314*AD314-IF(AM314&gt;0;AM314;'_Настройки'!$B$9)-AP314-AC314)</f>
        <v/>
      </c>
      <c r="S314" s="3">
        <f>IF(AND(O314&gt;0;K314&gt;0);R314/K314;"")</f>
        <v/>
      </c>
      <c r="T314" s="2" t="n"/>
      <c r="U314" s="3">
        <f>IF(AND(L314&gt;0;T314&gt;0);1-T314/L314;"")</f>
        <v/>
      </c>
      <c r="V314" s="3">
        <f>'_Настройки'!$B$4</f>
        <v/>
      </c>
      <c r="Z314" s="4">
        <f>IF(AND(W314&gt;0;X314&gt;0;Y314&gt;0);W314*X314*Y314/1000;"")</f>
        <v/>
      </c>
      <c r="AB314" s="2">
        <f>('_Настройки'!$B$6+MAX(0;Z314-1)*'_Настройки'!$B$7)*IF(AA314&gt;0;AA314;'_Настройки'!$B$10)</f>
        <v/>
      </c>
      <c r="AC314" s="2">
        <f>AB314*(1+'_Настройки'!$B$8)</f>
        <v/>
      </c>
      <c r="AD314" s="3">
        <f>'_Настройки'!$B$2</f>
        <v/>
      </c>
      <c r="AE314" s="2">
        <f>L314*AD314</f>
        <v/>
      </c>
      <c r="AF314" s="3">
        <f>'_Настройки'!$B$3</f>
        <v/>
      </c>
      <c r="AG314" s="3">
        <f>IFERROR(INDEX('_Комиссия_ВБ'!$B:$B;MATCH(C314;'_Комиссия_ВБ'!$A:$A;0));0,245)</f>
        <v/>
      </c>
      <c r="AH314" s="3">
        <f>AG314+AF314</f>
        <v/>
      </c>
      <c r="AI314" s="2">
        <f>L314*AH314</f>
        <v/>
      </c>
      <c r="AJ314" s="3">
        <f>IFERROR(INDEX('_Комиссия_ВБ'!$C:$C;MATCH(C314;'_Комиссия_ВБ'!$A:$A;0));0,28)</f>
        <v/>
      </c>
      <c r="AK314" s="3">
        <f>AJ314+AF314</f>
        <v/>
      </c>
      <c r="AL314" s="2">
        <f>L314*AK314</f>
        <v/>
      </c>
      <c r="AM314" s="2" t="n"/>
      <c r="AO314" s="3">
        <f>'_Настройки'!$B$5</f>
        <v/>
      </c>
      <c r="AP314" s="2">
        <f>IF(K314&gt;0;K314*AO314;0)</f>
        <v/>
      </c>
      <c r="AQ314" s="2">
        <f>L314-K314-AI314-AE314-IF(AM314&gt;0;AM314;'_Настройки'!$B$9)-AP314-AC314</f>
        <v/>
      </c>
      <c r="AR314" s="3">
        <f>IF(L314&gt;0;AQ314/L314;"")</f>
        <v/>
      </c>
      <c r="AS314" s="3">
        <f>IF(K314&gt;0;AQ314/K314;"")</f>
        <v/>
      </c>
      <c r="AT314" s="2">
        <f>L314-K314-AL314-AE314-IF(AM314&gt;0;AM314;'_Настройки'!$B$9)-AP314-AC314</f>
        <v/>
      </c>
      <c r="AU314" s="3">
        <f>IF(L314&gt;0;AT314/L314;"")</f>
        <v/>
      </c>
      <c r="AV314" s="3">
        <f>IF(K314&gt;0;AT314/K314;"")</f>
        <v/>
      </c>
    </row>
    <row r="315">
      <c r="A315">
        <f>ROW()-1</f>
        <v/>
      </c>
      <c r="K315" s="2">
        <f>IFERROR(INDEX('_Цены_закупки'!$B:$B;MATCH(C315;'_Цены_закупки'!$A:$A;0));"")</f>
        <v/>
      </c>
      <c r="L315" s="2" t="n"/>
      <c r="M315" s="2" t="n"/>
      <c r="N315" s="3">
        <f>IF(AND(M315&gt;0;L315&gt;0);1-L315/M315;"")</f>
        <v/>
      </c>
      <c r="O315" s="2">
        <f>IF(OR(Q315="";K315=0);"";(K315+IF(AM315&gt;0;AM315;'_Настройки'!$B$9)+AP315+AC315+Q315*K315)/(1-AH315-AD315))</f>
        <v/>
      </c>
      <c r="P315" s="2">
        <f>IF(O315="";"";O315-K315-O315*AH315-O315*AD315-IF(AM315&gt;0;AM315;'_Настройки'!$B$9)-AP315-AC315)</f>
        <v/>
      </c>
      <c r="Q315" s="3">
        <f>IF(AND(O315&gt;0;K315&gt;0);P315/K315;"")</f>
        <v/>
      </c>
      <c r="R315" s="2">
        <f>IF(O315="";"";O315-K315-O315*AK315-O315*AD315-IF(AM315&gt;0;AM315;'_Настройки'!$B$9)-AP315-AC315)</f>
        <v/>
      </c>
      <c r="S315" s="3">
        <f>IF(AND(O315&gt;0;K315&gt;0);R315/K315;"")</f>
        <v/>
      </c>
      <c r="T315" s="2" t="n"/>
      <c r="U315" s="3">
        <f>IF(AND(L315&gt;0;T315&gt;0);1-T315/L315;"")</f>
        <v/>
      </c>
      <c r="V315" s="3">
        <f>'_Настройки'!$B$4</f>
        <v/>
      </c>
      <c r="Z315" s="4">
        <f>IF(AND(W315&gt;0;X315&gt;0;Y315&gt;0);W315*X315*Y315/1000;"")</f>
        <v/>
      </c>
      <c r="AB315" s="2">
        <f>('_Настройки'!$B$6+MAX(0;Z315-1)*'_Настройки'!$B$7)*IF(AA315&gt;0;AA315;'_Настройки'!$B$10)</f>
        <v/>
      </c>
      <c r="AC315" s="2">
        <f>AB315*(1+'_Настройки'!$B$8)</f>
        <v/>
      </c>
      <c r="AD315" s="3">
        <f>'_Настройки'!$B$2</f>
        <v/>
      </c>
      <c r="AE315" s="2">
        <f>L315*AD315</f>
        <v/>
      </c>
      <c r="AF315" s="3">
        <f>'_Настройки'!$B$3</f>
        <v/>
      </c>
      <c r="AG315" s="3">
        <f>IFERROR(INDEX('_Комиссия_ВБ'!$B:$B;MATCH(C315;'_Комиссия_ВБ'!$A:$A;0));0,245)</f>
        <v/>
      </c>
      <c r="AH315" s="3">
        <f>AG315+AF315</f>
        <v/>
      </c>
      <c r="AI315" s="2">
        <f>L315*AH315</f>
        <v/>
      </c>
      <c r="AJ315" s="3">
        <f>IFERROR(INDEX('_Комиссия_ВБ'!$C:$C;MATCH(C315;'_Комиссия_ВБ'!$A:$A;0));0,28)</f>
        <v/>
      </c>
      <c r="AK315" s="3">
        <f>AJ315+AF315</f>
        <v/>
      </c>
      <c r="AL315" s="2">
        <f>L315*AK315</f>
        <v/>
      </c>
      <c r="AM315" s="2" t="n"/>
      <c r="AO315" s="3">
        <f>'_Настройки'!$B$5</f>
        <v/>
      </c>
      <c r="AP315" s="2">
        <f>IF(K315&gt;0;K315*AO315;0)</f>
        <v/>
      </c>
      <c r="AQ315" s="2">
        <f>L315-K315-AI315-AE315-IF(AM315&gt;0;AM315;'_Настройки'!$B$9)-AP315-AC315</f>
        <v/>
      </c>
      <c r="AR315" s="3">
        <f>IF(L315&gt;0;AQ315/L315;"")</f>
        <v/>
      </c>
      <c r="AS315" s="3">
        <f>IF(K315&gt;0;AQ315/K315;"")</f>
        <v/>
      </c>
      <c r="AT315" s="2">
        <f>L315-K315-AL315-AE315-IF(AM315&gt;0;AM315;'_Настройки'!$B$9)-AP315-AC315</f>
        <v/>
      </c>
      <c r="AU315" s="3">
        <f>IF(L315&gt;0;AT315/L315;"")</f>
        <v/>
      </c>
      <c r="AV315" s="3">
        <f>IF(K315&gt;0;AT315/K315;"")</f>
        <v/>
      </c>
    </row>
    <row r="316">
      <c r="A316">
        <f>ROW()-1</f>
        <v/>
      </c>
      <c r="K316" s="2">
        <f>IFERROR(INDEX('_Цены_закупки'!$B:$B;MATCH(C316;'_Цены_закупки'!$A:$A;0));"")</f>
        <v/>
      </c>
      <c r="L316" s="2" t="n"/>
      <c r="M316" s="2" t="n"/>
      <c r="N316" s="3">
        <f>IF(AND(M316&gt;0;L316&gt;0);1-L316/M316;"")</f>
        <v/>
      </c>
      <c r="O316" s="2">
        <f>IF(OR(Q316="";K316=0);"";(K316+IF(AM316&gt;0;AM316;'_Настройки'!$B$9)+AP316+AC316+Q316*K316)/(1-AH316-AD316))</f>
        <v/>
      </c>
      <c r="P316" s="2">
        <f>IF(O316="";"";O316-K316-O316*AH316-O316*AD316-IF(AM316&gt;0;AM316;'_Настройки'!$B$9)-AP316-AC316)</f>
        <v/>
      </c>
      <c r="Q316" s="3">
        <f>IF(AND(O316&gt;0;K316&gt;0);P316/K316;"")</f>
        <v/>
      </c>
      <c r="R316" s="2">
        <f>IF(O316="";"";O316-K316-O316*AK316-O316*AD316-IF(AM316&gt;0;AM316;'_Настройки'!$B$9)-AP316-AC316)</f>
        <v/>
      </c>
      <c r="S316" s="3">
        <f>IF(AND(O316&gt;0;K316&gt;0);R316/K316;"")</f>
        <v/>
      </c>
      <c r="T316" s="2" t="n"/>
      <c r="U316" s="3">
        <f>IF(AND(L316&gt;0;T316&gt;0);1-T316/L316;"")</f>
        <v/>
      </c>
      <c r="V316" s="3">
        <f>'_Настройки'!$B$4</f>
        <v/>
      </c>
      <c r="Z316" s="4">
        <f>IF(AND(W316&gt;0;X316&gt;0;Y316&gt;0);W316*X316*Y316/1000;"")</f>
        <v/>
      </c>
      <c r="AB316" s="2">
        <f>('_Настройки'!$B$6+MAX(0;Z316-1)*'_Настройки'!$B$7)*IF(AA316&gt;0;AA316;'_Настройки'!$B$10)</f>
        <v/>
      </c>
      <c r="AC316" s="2">
        <f>AB316*(1+'_Настройки'!$B$8)</f>
        <v/>
      </c>
      <c r="AD316" s="3">
        <f>'_Настройки'!$B$2</f>
        <v/>
      </c>
      <c r="AE316" s="2">
        <f>L316*AD316</f>
        <v/>
      </c>
      <c r="AF316" s="3">
        <f>'_Настройки'!$B$3</f>
        <v/>
      </c>
      <c r="AG316" s="3">
        <f>IFERROR(INDEX('_Комиссия_ВБ'!$B:$B;MATCH(C316;'_Комиссия_ВБ'!$A:$A;0));0,245)</f>
        <v/>
      </c>
      <c r="AH316" s="3">
        <f>AG316+AF316</f>
        <v/>
      </c>
      <c r="AI316" s="2">
        <f>L316*AH316</f>
        <v/>
      </c>
      <c r="AJ316" s="3">
        <f>IFERROR(INDEX('_Комиссия_ВБ'!$C:$C;MATCH(C316;'_Комиссия_ВБ'!$A:$A;0));0,28)</f>
        <v/>
      </c>
      <c r="AK316" s="3">
        <f>AJ316+AF316</f>
        <v/>
      </c>
      <c r="AL316" s="2">
        <f>L316*AK316</f>
        <v/>
      </c>
      <c r="AM316" s="2" t="n"/>
      <c r="AO316" s="3">
        <f>'_Настройки'!$B$5</f>
        <v/>
      </c>
      <c r="AP316" s="2">
        <f>IF(K316&gt;0;K316*AO316;0)</f>
        <v/>
      </c>
      <c r="AQ316" s="2">
        <f>L316-K316-AI316-AE316-IF(AM316&gt;0;AM316;'_Настройки'!$B$9)-AP316-AC316</f>
        <v/>
      </c>
      <c r="AR316" s="3">
        <f>IF(L316&gt;0;AQ316/L316;"")</f>
        <v/>
      </c>
      <c r="AS316" s="3">
        <f>IF(K316&gt;0;AQ316/K316;"")</f>
        <v/>
      </c>
      <c r="AT316" s="2">
        <f>L316-K316-AL316-AE316-IF(AM316&gt;0;AM316;'_Настройки'!$B$9)-AP316-AC316</f>
        <v/>
      </c>
      <c r="AU316" s="3">
        <f>IF(L316&gt;0;AT316/L316;"")</f>
        <v/>
      </c>
      <c r="AV316" s="3">
        <f>IF(K316&gt;0;AT316/K316;"")</f>
        <v/>
      </c>
    </row>
    <row r="317">
      <c r="A317">
        <f>ROW()-1</f>
        <v/>
      </c>
      <c r="K317" s="2">
        <f>IFERROR(INDEX('_Цены_закупки'!$B:$B;MATCH(C317;'_Цены_закупки'!$A:$A;0));"")</f>
        <v/>
      </c>
      <c r="L317" s="2" t="n"/>
      <c r="M317" s="2" t="n"/>
      <c r="N317" s="3">
        <f>IF(AND(M317&gt;0;L317&gt;0);1-L317/M317;"")</f>
        <v/>
      </c>
      <c r="O317" s="2">
        <f>IF(OR(Q317="";K317=0);"";(K317+IF(AM317&gt;0;AM317;'_Настройки'!$B$9)+AP317+AC317+Q317*K317)/(1-AH317-AD317))</f>
        <v/>
      </c>
      <c r="P317" s="2">
        <f>IF(O317="";"";O317-K317-O317*AH317-O317*AD317-IF(AM317&gt;0;AM317;'_Настройки'!$B$9)-AP317-AC317)</f>
        <v/>
      </c>
      <c r="Q317" s="3">
        <f>IF(AND(O317&gt;0;K317&gt;0);P317/K317;"")</f>
        <v/>
      </c>
      <c r="R317" s="2">
        <f>IF(O317="";"";O317-K317-O317*AK317-O317*AD317-IF(AM317&gt;0;AM317;'_Настройки'!$B$9)-AP317-AC317)</f>
        <v/>
      </c>
      <c r="S317" s="3">
        <f>IF(AND(O317&gt;0;K317&gt;0);R317/K317;"")</f>
        <v/>
      </c>
      <c r="T317" s="2" t="n"/>
      <c r="U317" s="3">
        <f>IF(AND(L317&gt;0;T317&gt;0);1-T317/L317;"")</f>
        <v/>
      </c>
      <c r="V317" s="3">
        <f>'_Настройки'!$B$4</f>
        <v/>
      </c>
      <c r="Z317" s="4">
        <f>IF(AND(W317&gt;0;X317&gt;0;Y317&gt;0);W317*X317*Y317/1000;"")</f>
        <v/>
      </c>
      <c r="AB317" s="2">
        <f>('_Настройки'!$B$6+MAX(0;Z317-1)*'_Настройки'!$B$7)*IF(AA317&gt;0;AA317;'_Настройки'!$B$10)</f>
        <v/>
      </c>
      <c r="AC317" s="2">
        <f>AB317*(1+'_Настройки'!$B$8)</f>
        <v/>
      </c>
      <c r="AD317" s="3">
        <f>'_Настройки'!$B$2</f>
        <v/>
      </c>
      <c r="AE317" s="2">
        <f>L317*AD317</f>
        <v/>
      </c>
      <c r="AF317" s="3">
        <f>'_Настройки'!$B$3</f>
        <v/>
      </c>
      <c r="AG317" s="3">
        <f>IFERROR(INDEX('_Комиссия_ВБ'!$B:$B;MATCH(C317;'_Комиссия_ВБ'!$A:$A;0));0,245)</f>
        <v/>
      </c>
      <c r="AH317" s="3">
        <f>AG317+AF317</f>
        <v/>
      </c>
      <c r="AI317" s="2">
        <f>L317*AH317</f>
        <v/>
      </c>
      <c r="AJ317" s="3">
        <f>IFERROR(INDEX('_Комиссия_ВБ'!$C:$C;MATCH(C317;'_Комиссия_ВБ'!$A:$A;0));0,28)</f>
        <v/>
      </c>
      <c r="AK317" s="3">
        <f>AJ317+AF317</f>
        <v/>
      </c>
      <c r="AL317" s="2">
        <f>L317*AK317</f>
        <v/>
      </c>
      <c r="AM317" s="2" t="n"/>
      <c r="AO317" s="3">
        <f>'_Настройки'!$B$5</f>
        <v/>
      </c>
      <c r="AP317" s="2">
        <f>IF(K317&gt;0;K317*AO317;0)</f>
        <v/>
      </c>
      <c r="AQ317" s="2">
        <f>L317-K317-AI317-AE317-IF(AM317&gt;0;AM317;'_Настройки'!$B$9)-AP317-AC317</f>
        <v/>
      </c>
      <c r="AR317" s="3">
        <f>IF(L317&gt;0;AQ317/L317;"")</f>
        <v/>
      </c>
      <c r="AS317" s="3">
        <f>IF(K317&gt;0;AQ317/K317;"")</f>
        <v/>
      </c>
      <c r="AT317" s="2">
        <f>L317-K317-AL317-AE317-IF(AM317&gt;0;AM317;'_Настройки'!$B$9)-AP317-AC317</f>
        <v/>
      </c>
      <c r="AU317" s="3">
        <f>IF(L317&gt;0;AT317/L317;"")</f>
        <v/>
      </c>
      <c r="AV317" s="3">
        <f>IF(K317&gt;0;AT317/K317;"")</f>
        <v/>
      </c>
    </row>
    <row r="318">
      <c r="A318">
        <f>ROW()-1</f>
        <v/>
      </c>
      <c r="K318" s="2">
        <f>IFERROR(INDEX('_Цены_закупки'!$B:$B;MATCH(C318;'_Цены_закупки'!$A:$A;0));"")</f>
        <v/>
      </c>
      <c r="L318" s="2" t="n"/>
      <c r="M318" s="2" t="n"/>
      <c r="N318" s="3">
        <f>IF(AND(M318&gt;0;L318&gt;0);1-L318/M318;"")</f>
        <v/>
      </c>
      <c r="O318" s="2">
        <f>IF(OR(Q318="";K318=0);"";(K318+IF(AM318&gt;0;AM318;'_Настройки'!$B$9)+AP318+AC318+Q318*K318)/(1-AH318-AD318))</f>
        <v/>
      </c>
      <c r="P318" s="2">
        <f>IF(O318="";"";O318-K318-O318*AH318-O318*AD318-IF(AM318&gt;0;AM318;'_Настройки'!$B$9)-AP318-AC318)</f>
        <v/>
      </c>
      <c r="Q318" s="3">
        <f>IF(AND(O318&gt;0;K318&gt;0);P318/K318;"")</f>
        <v/>
      </c>
      <c r="R318" s="2">
        <f>IF(O318="";"";O318-K318-O318*AK318-O318*AD318-IF(AM318&gt;0;AM318;'_Настройки'!$B$9)-AP318-AC318)</f>
        <v/>
      </c>
      <c r="S318" s="3">
        <f>IF(AND(O318&gt;0;K318&gt;0);R318/K318;"")</f>
        <v/>
      </c>
      <c r="T318" s="2" t="n"/>
      <c r="U318" s="3">
        <f>IF(AND(L318&gt;0;T318&gt;0);1-T318/L318;"")</f>
        <v/>
      </c>
      <c r="V318" s="3">
        <f>'_Настройки'!$B$4</f>
        <v/>
      </c>
      <c r="Z318" s="4">
        <f>IF(AND(W318&gt;0;X318&gt;0;Y318&gt;0);W318*X318*Y318/1000;"")</f>
        <v/>
      </c>
      <c r="AB318" s="2">
        <f>('_Настройки'!$B$6+MAX(0;Z318-1)*'_Настройки'!$B$7)*IF(AA318&gt;0;AA318;'_Настройки'!$B$10)</f>
        <v/>
      </c>
      <c r="AC318" s="2">
        <f>AB318*(1+'_Настройки'!$B$8)</f>
        <v/>
      </c>
      <c r="AD318" s="3">
        <f>'_Настройки'!$B$2</f>
        <v/>
      </c>
      <c r="AE318" s="2">
        <f>L318*AD318</f>
        <v/>
      </c>
      <c r="AF318" s="3">
        <f>'_Настройки'!$B$3</f>
        <v/>
      </c>
      <c r="AG318" s="3">
        <f>IFERROR(INDEX('_Комиссия_ВБ'!$B:$B;MATCH(C318;'_Комиссия_ВБ'!$A:$A;0));0,245)</f>
        <v/>
      </c>
      <c r="AH318" s="3">
        <f>AG318+AF318</f>
        <v/>
      </c>
      <c r="AI318" s="2">
        <f>L318*AH318</f>
        <v/>
      </c>
      <c r="AJ318" s="3">
        <f>IFERROR(INDEX('_Комиссия_ВБ'!$C:$C;MATCH(C318;'_Комиссия_ВБ'!$A:$A;0));0,28)</f>
        <v/>
      </c>
      <c r="AK318" s="3">
        <f>AJ318+AF318</f>
        <v/>
      </c>
      <c r="AL318" s="2">
        <f>L318*AK318</f>
        <v/>
      </c>
      <c r="AM318" s="2" t="n"/>
      <c r="AO318" s="3">
        <f>'_Настройки'!$B$5</f>
        <v/>
      </c>
      <c r="AP318" s="2">
        <f>IF(K318&gt;0;K318*AO318;0)</f>
        <v/>
      </c>
      <c r="AQ318" s="2">
        <f>L318-K318-AI318-AE318-IF(AM318&gt;0;AM318;'_Настройки'!$B$9)-AP318-AC318</f>
        <v/>
      </c>
      <c r="AR318" s="3">
        <f>IF(L318&gt;0;AQ318/L318;"")</f>
        <v/>
      </c>
      <c r="AS318" s="3">
        <f>IF(K318&gt;0;AQ318/K318;"")</f>
        <v/>
      </c>
      <c r="AT318" s="2">
        <f>L318-K318-AL318-AE318-IF(AM318&gt;0;AM318;'_Настройки'!$B$9)-AP318-AC318</f>
        <v/>
      </c>
      <c r="AU318" s="3">
        <f>IF(L318&gt;0;AT318/L318;"")</f>
        <v/>
      </c>
      <c r="AV318" s="3">
        <f>IF(K318&gt;0;AT318/K318;"")</f>
        <v/>
      </c>
    </row>
    <row r="319">
      <c r="A319">
        <f>ROW()-1</f>
        <v/>
      </c>
      <c r="K319" s="2">
        <f>IFERROR(INDEX('_Цены_закупки'!$B:$B;MATCH(C319;'_Цены_закупки'!$A:$A;0));"")</f>
        <v/>
      </c>
      <c r="L319" s="2" t="n"/>
      <c r="M319" s="2" t="n"/>
      <c r="N319" s="3">
        <f>IF(AND(M319&gt;0;L319&gt;0);1-L319/M319;"")</f>
        <v/>
      </c>
      <c r="O319" s="2">
        <f>IF(OR(Q319="";K319=0);"";(K319+IF(AM319&gt;0;AM319;'_Настройки'!$B$9)+AP319+AC319+Q319*K319)/(1-AH319-AD319))</f>
        <v/>
      </c>
      <c r="P319" s="2">
        <f>IF(O319="";"";O319-K319-O319*AH319-O319*AD319-IF(AM319&gt;0;AM319;'_Настройки'!$B$9)-AP319-AC319)</f>
        <v/>
      </c>
      <c r="Q319" s="3">
        <f>IF(AND(O319&gt;0;K319&gt;0);P319/K319;"")</f>
        <v/>
      </c>
      <c r="R319" s="2">
        <f>IF(O319="";"";O319-K319-O319*AK319-O319*AD319-IF(AM319&gt;0;AM319;'_Настройки'!$B$9)-AP319-AC319)</f>
        <v/>
      </c>
      <c r="S319" s="3">
        <f>IF(AND(O319&gt;0;K319&gt;0);R319/K319;"")</f>
        <v/>
      </c>
      <c r="T319" s="2" t="n"/>
      <c r="U319" s="3">
        <f>IF(AND(L319&gt;0;T319&gt;0);1-T319/L319;"")</f>
        <v/>
      </c>
      <c r="V319" s="3">
        <f>'_Настройки'!$B$4</f>
        <v/>
      </c>
      <c r="Z319" s="4">
        <f>IF(AND(W319&gt;0;X319&gt;0;Y319&gt;0);W319*X319*Y319/1000;"")</f>
        <v/>
      </c>
      <c r="AB319" s="2">
        <f>('_Настройки'!$B$6+MAX(0;Z319-1)*'_Настройки'!$B$7)*IF(AA319&gt;0;AA319;'_Настройки'!$B$10)</f>
        <v/>
      </c>
      <c r="AC319" s="2">
        <f>AB319*(1+'_Настройки'!$B$8)</f>
        <v/>
      </c>
      <c r="AD319" s="3">
        <f>'_Настройки'!$B$2</f>
        <v/>
      </c>
      <c r="AE319" s="2">
        <f>L319*AD319</f>
        <v/>
      </c>
      <c r="AF319" s="3">
        <f>'_Настройки'!$B$3</f>
        <v/>
      </c>
      <c r="AG319" s="3">
        <f>IFERROR(INDEX('_Комиссия_ВБ'!$B:$B;MATCH(C319;'_Комиссия_ВБ'!$A:$A;0));0,245)</f>
        <v/>
      </c>
      <c r="AH319" s="3">
        <f>AG319+AF319</f>
        <v/>
      </c>
      <c r="AI319" s="2">
        <f>L319*AH319</f>
        <v/>
      </c>
      <c r="AJ319" s="3">
        <f>IFERROR(INDEX('_Комиссия_ВБ'!$C:$C;MATCH(C319;'_Комиссия_ВБ'!$A:$A;0));0,28)</f>
        <v/>
      </c>
      <c r="AK319" s="3">
        <f>AJ319+AF319</f>
        <v/>
      </c>
      <c r="AL319" s="2">
        <f>L319*AK319</f>
        <v/>
      </c>
      <c r="AM319" s="2" t="n"/>
      <c r="AO319" s="3">
        <f>'_Настройки'!$B$5</f>
        <v/>
      </c>
      <c r="AP319" s="2">
        <f>IF(K319&gt;0;K319*AO319;0)</f>
        <v/>
      </c>
      <c r="AQ319" s="2">
        <f>L319-K319-AI319-AE319-IF(AM319&gt;0;AM319;'_Настройки'!$B$9)-AP319-AC319</f>
        <v/>
      </c>
      <c r="AR319" s="3">
        <f>IF(L319&gt;0;AQ319/L319;"")</f>
        <v/>
      </c>
      <c r="AS319" s="3">
        <f>IF(K319&gt;0;AQ319/K319;"")</f>
        <v/>
      </c>
      <c r="AT319" s="2">
        <f>L319-K319-AL319-AE319-IF(AM319&gt;0;AM319;'_Настройки'!$B$9)-AP319-AC319</f>
        <v/>
      </c>
      <c r="AU319" s="3">
        <f>IF(L319&gt;0;AT319/L319;"")</f>
        <v/>
      </c>
      <c r="AV319" s="3">
        <f>IF(K319&gt;0;AT319/K319;"")</f>
        <v/>
      </c>
    </row>
    <row r="320">
      <c r="A320">
        <f>ROW()-1</f>
        <v/>
      </c>
      <c r="K320" s="2">
        <f>IFERROR(INDEX('_Цены_закупки'!$B:$B;MATCH(C320;'_Цены_закупки'!$A:$A;0));"")</f>
        <v/>
      </c>
      <c r="L320" s="2" t="n"/>
      <c r="M320" s="2" t="n"/>
      <c r="N320" s="3">
        <f>IF(AND(M320&gt;0;L320&gt;0);1-L320/M320;"")</f>
        <v/>
      </c>
      <c r="O320" s="2">
        <f>IF(OR(Q320="";K320=0);"";(K320+IF(AM320&gt;0;AM320;'_Настройки'!$B$9)+AP320+AC320+Q320*K320)/(1-AH320-AD320))</f>
        <v/>
      </c>
      <c r="P320" s="2">
        <f>IF(O320="";"";O320-K320-O320*AH320-O320*AD320-IF(AM320&gt;0;AM320;'_Настройки'!$B$9)-AP320-AC320)</f>
        <v/>
      </c>
      <c r="Q320" s="3">
        <f>IF(AND(O320&gt;0;K320&gt;0);P320/K320;"")</f>
        <v/>
      </c>
      <c r="R320" s="2">
        <f>IF(O320="";"";O320-K320-O320*AK320-O320*AD320-IF(AM320&gt;0;AM320;'_Настройки'!$B$9)-AP320-AC320)</f>
        <v/>
      </c>
      <c r="S320" s="3">
        <f>IF(AND(O320&gt;0;K320&gt;0);R320/K320;"")</f>
        <v/>
      </c>
      <c r="T320" s="2" t="n"/>
      <c r="U320" s="3">
        <f>IF(AND(L320&gt;0;T320&gt;0);1-T320/L320;"")</f>
        <v/>
      </c>
      <c r="V320" s="3">
        <f>'_Настройки'!$B$4</f>
        <v/>
      </c>
      <c r="Z320" s="4">
        <f>IF(AND(W320&gt;0;X320&gt;0;Y320&gt;0);W320*X320*Y320/1000;"")</f>
        <v/>
      </c>
      <c r="AB320" s="2">
        <f>('_Настройки'!$B$6+MAX(0;Z320-1)*'_Настройки'!$B$7)*IF(AA320&gt;0;AA320;'_Настройки'!$B$10)</f>
        <v/>
      </c>
      <c r="AC320" s="2">
        <f>AB320*(1+'_Настройки'!$B$8)</f>
        <v/>
      </c>
      <c r="AD320" s="3">
        <f>'_Настройки'!$B$2</f>
        <v/>
      </c>
      <c r="AE320" s="2">
        <f>L320*AD320</f>
        <v/>
      </c>
      <c r="AF320" s="3">
        <f>'_Настройки'!$B$3</f>
        <v/>
      </c>
      <c r="AG320" s="3">
        <f>IFERROR(INDEX('_Комиссия_ВБ'!$B:$B;MATCH(C320;'_Комиссия_ВБ'!$A:$A;0));0,245)</f>
        <v/>
      </c>
      <c r="AH320" s="3">
        <f>AG320+AF320</f>
        <v/>
      </c>
      <c r="AI320" s="2">
        <f>L320*AH320</f>
        <v/>
      </c>
      <c r="AJ320" s="3">
        <f>IFERROR(INDEX('_Комиссия_ВБ'!$C:$C;MATCH(C320;'_Комиссия_ВБ'!$A:$A;0));0,28)</f>
        <v/>
      </c>
      <c r="AK320" s="3">
        <f>AJ320+AF320</f>
        <v/>
      </c>
      <c r="AL320" s="2">
        <f>L320*AK320</f>
        <v/>
      </c>
      <c r="AM320" s="2" t="n"/>
      <c r="AO320" s="3">
        <f>'_Настройки'!$B$5</f>
        <v/>
      </c>
      <c r="AP320" s="2">
        <f>IF(K320&gt;0;K320*AO320;0)</f>
        <v/>
      </c>
      <c r="AQ320" s="2">
        <f>L320-K320-AI320-AE320-IF(AM320&gt;0;AM320;'_Настройки'!$B$9)-AP320-AC320</f>
        <v/>
      </c>
      <c r="AR320" s="3">
        <f>IF(L320&gt;0;AQ320/L320;"")</f>
        <v/>
      </c>
      <c r="AS320" s="3">
        <f>IF(K320&gt;0;AQ320/K320;"")</f>
        <v/>
      </c>
      <c r="AT320" s="2">
        <f>L320-K320-AL320-AE320-IF(AM320&gt;0;AM320;'_Настройки'!$B$9)-AP320-AC320</f>
        <v/>
      </c>
      <c r="AU320" s="3">
        <f>IF(L320&gt;0;AT320/L320;"")</f>
        <v/>
      </c>
      <c r="AV320" s="3">
        <f>IF(K320&gt;0;AT320/K320;"")</f>
        <v/>
      </c>
    </row>
    <row r="321">
      <c r="A321">
        <f>ROW()-1</f>
        <v/>
      </c>
      <c r="K321" s="2">
        <f>IFERROR(INDEX('_Цены_закупки'!$B:$B;MATCH(C321;'_Цены_закупки'!$A:$A;0));"")</f>
        <v/>
      </c>
      <c r="L321" s="2" t="n"/>
      <c r="M321" s="2" t="n"/>
      <c r="N321" s="3">
        <f>IF(AND(M321&gt;0;L321&gt;0);1-L321/M321;"")</f>
        <v/>
      </c>
      <c r="O321" s="2">
        <f>IF(OR(Q321="";K321=0);"";(K321+IF(AM321&gt;0;AM321;'_Настройки'!$B$9)+AP321+AC321+Q321*K321)/(1-AH321-AD321))</f>
        <v/>
      </c>
      <c r="P321" s="2">
        <f>IF(O321="";"";O321-K321-O321*AH321-O321*AD321-IF(AM321&gt;0;AM321;'_Настройки'!$B$9)-AP321-AC321)</f>
        <v/>
      </c>
      <c r="Q321" s="3">
        <f>IF(AND(O321&gt;0;K321&gt;0);P321/K321;"")</f>
        <v/>
      </c>
      <c r="R321" s="2">
        <f>IF(O321="";"";O321-K321-O321*AK321-O321*AD321-IF(AM321&gt;0;AM321;'_Настройки'!$B$9)-AP321-AC321)</f>
        <v/>
      </c>
      <c r="S321" s="3">
        <f>IF(AND(O321&gt;0;K321&gt;0);R321/K321;"")</f>
        <v/>
      </c>
      <c r="T321" s="2" t="n"/>
      <c r="U321" s="3">
        <f>IF(AND(L321&gt;0;T321&gt;0);1-T321/L321;"")</f>
        <v/>
      </c>
      <c r="V321" s="3">
        <f>'_Настройки'!$B$4</f>
        <v/>
      </c>
      <c r="Z321" s="4">
        <f>IF(AND(W321&gt;0;X321&gt;0;Y321&gt;0);W321*X321*Y321/1000;"")</f>
        <v/>
      </c>
      <c r="AB321" s="2">
        <f>('_Настройки'!$B$6+MAX(0;Z321-1)*'_Настройки'!$B$7)*IF(AA321&gt;0;AA321;'_Настройки'!$B$10)</f>
        <v/>
      </c>
      <c r="AC321" s="2">
        <f>AB321*(1+'_Настройки'!$B$8)</f>
        <v/>
      </c>
      <c r="AD321" s="3">
        <f>'_Настройки'!$B$2</f>
        <v/>
      </c>
      <c r="AE321" s="2">
        <f>L321*AD321</f>
        <v/>
      </c>
      <c r="AF321" s="3">
        <f>'_Настройки'!$B$3</f>
        <v/>
      </c>
      <c r="AG321" s="3">
        <f>IFERROR(INDEX('_Комиссия_ВБ'!$B:$B;MATCH(C321;'_Комиссия_ВБ'!$A:$A;0));0,245)</f>
        <v/>
      </c>
      <c r="AH321" s="3">
        <f>AG321+AF321</f>
        <v/>
      </c>
      <c r="AI321" s="2">
        <f>L321*AH321</f>
        <v/>
      </c>
      <c r="AJ321" s="3">
        <f>IFERROR(INDEX('_Комиссия_ВБ'!$C:$C;MATCH(C321;'_Комиссия_ВБ'!$A:$A;0));0,28)</f>
        <v/>
      </c>
      <c r="AK321" s="3">
        <f>AJ321+AF321</f>
        <v/>
      </c>
      <c r="AL321" s="2">
        <f>L321*AK321</f>
        <v/>
      </c>
      <c r="AM321" s="2" t="n"/>
      <c r="AO321" s="3">
        <f>'_Настройки'!$B$5</f>
        <v/>
      </c>
      <c r="AP321" s="2">
        <f>IF(K321&gt;0;K321*AO321;0)</f>
        <v/>
      </c>
      <c r="AQ321" s="2">
        <f>L321-K321-AI321-AE321-IF(AM321&gt;0;AM321;'_Настройки'!$B$9)-AP321-AC321</f>
        <v/>
      </c>
      <c r="AR321" s="3">
        <f>IF(L321&gt;0;AQ321/L321;"")</f>
        <v/>
      </c>
      <c r="AS321" s="3">
        <f>IF(K321&gt;0;AQ321/K321;"")</f>
        <v/>
      </c>
      <c r="AT321" s="2">
        <f>L321-K321-AL321-AE321-IF(AM321&gt;0;AM321;'_Настройки'!$B$9)-AP321-AC321</f>
        <v/>
      </c>
      <c r="AU321" s="3">
        <f>IF(L321&gt;0;AT321/L321;"")</f>
        <v/>
      </c>
      <c r="AV321" s="3">
        <f>IF(K321&gt;0;AT321/K321;"")</f>
        <v/>
      </c>
    </row>
    <row r="322">
      <c r="A322">
        <f>ROW()-1</f>
        <v/>
      </c>
      <c r="K322" s="2">
        <f>IFERROR(INDEX('_Цены_закупки'!$B:$B;MATCH(C322;'_Цены_закупки'!$A:$A;0));"")</f>
        <v/>
      </c>
      <c r="L322" s="2" t="n"/>
      <c r="M322" s="2" t="n"/>
      <c r="N322" s="3">
        <f>IF(AND(M322&gt;0;L322&gt;0);1-L322/M322;"")</f>
        <v/>
      </c>
      <c r="O322" s="2">
        <f>IF(OR(Q322="";K322=0);"";(K322+IF(AM322&gt;0;AM322;'_Настройки'!$B$9)+AP322+AC322+Q322*K322)/(1-AH322-AD322))</f>
        <v/>
      </c>
      <c r="P322" s="2">
        <f>IF(O322="";"";O322-K322-O322*AH322-O322*AD322-IF(AM322&gt;0;AM322;'_Настройки'!$B$9)-AP322-AC322)</f>
        <v/>
      </c>
      <c r="Q322" s="3">
        <f>IF(AND(O322&gt;0;K322&gt;0);P322/K322;"")</f>
        <v/>
      </c>
      <c r="R322" s="2">
        <f>IF(O322="";"";O322-K322-O322*AK322-O322*AD322-IF(AM322&gt;0;AM322;'_Настройки'!$B$9)-AP322-AC322)</f>
        <v/>
      </c>
      <c r="S322" s="3">
        <f>IF(AND(O322&gt;0;K322&gt;0);R322/K322;"")</f>
        <v/>
      </c>
      <c r="T322" s="2" t="n"/>
      <c r="U322" s="3">
        <f>IF(AND(L322&gt;0;T322&gt;0);1-T322/L322;"")</f>
        <v/>
      </c>
      <c r="V322" s="3">
        <f>'_Настройки'!$B$4</f>
        <v/>
      </c>
      <c r="Z322" s="4">
        <f>IF(AND(W322&gt;0;X322&gt;0;Y322&gt;0);W322*X322*Y322/1000;"")</f>
        <v/>
      </c>
      <c r="AB322" s="2">
        <f>('_Настройки'!$B$6+MAX(0;Z322-1)*'_Настройки'!$B$7)*IF(AA322&gt;0;AA322;'_Настройки'!$B$10)</f>
        <v/>
      </c>
      <c r="AC322" s="2">
        <f>AB322*(1+'_Настройки'!$B$8)</f>
        <v/>
      </c>
      <c r="AD322" s="3">
        <f>'_Настройки'!$B$2</f>
        <v/>
      </c>
      <c r="AE322" s="2">
        <f>L322*AD322</f>
        <v/>
      </c>
      <c r="AF322" s="3">
        <f>'_Настройки'!$B$3</f>
        <v/>
      </c>
      <c r="AG322" s="3">
        <f>IFERROR(INDEX('_Комиссия_ВБ'!$B:$B;MATCH(C322;'_Комиссия_ВБ'!$A:$A;0));0,245)</f>
        <v/>
      </c>
      <c r="AH322" s="3">
        <f>AG322+AF322</f>
        <v/>
      </c>
      <c r="AI322" s="2">
        <f>L322*AH322</f>
        <v/>
      </c>
      <c r="AJ322" s="3">
        <f>IFERROR(INDEX('_Комиссия_ВБ'!$C:$C;MATCH(C322;'_Комиссия_ВБ'!$A:$A;0));0,28)</f>
        <v/>
      </c>
      <c r="AK322" s="3">
        <f>AJ322+AF322</f>
        <v/>
      </c>
      <c r="AL322" s="2">
        <f>L322*AK322</f>
        <v/>
      </c>
      <c r="AM322" s="2" t="n"/>
      <c r="AO322" s="3">
        <f>'_Настройки'!$B$5</f>
        <v/>
      </c>
      <c r="AP322" s="2">
        <f>IF(K322&gt;0;K322*AO322;0)</f>
        <v/>
      </c>
      <c r="AQ322" s="2">
        <f>L322-K322-AI322-AE322-IF(AM322&gt;0;AM322;'_Настройки'!$B$9)-AP322-AC322</f>
        <v/>
      </c>
      <c r="AR322" s="3">
        <f>IF(L322&gt;0;AQ322/L322;"")</f>
        <v/>
      </c>
      <c r="AS322" s="3">
        <f>IF(K322&gt;0;AQ322/K322;"")</f>
        <v/>
      </c>
      <c r="AT322" s="2">
        <f>L322-K322-AL322-AE322-IF(AM322&gt;0;AM322;'_Настройки'!$B$9)-AP322-AC322</f>
        <v/>
      </c>
      <c r="AU322" s="3">
        <f>IF(L322&gt;0;AT322/L322;"")</f>
        <v/>
      </c>
      <c r="AV322" s="3">
        <f>IF(K322&gt;0;AT322/K322;"")</f>
        <v/>
      </c>
    </row>
    <row r="323">
      <c r="A323">
        <f>ROW()-1</f>
        <v/>
      </c>
      <c r="K323" s="2">
        <f>IFERROR(INDEX('_Цены_закупки'!$B:$B;MATCH(C323;'_Цены_закупки'!$A:$A;0));"")</f>
        <v/>
      </c>
      <c r="L323" s="2" t="n"/>
      <c r="M323" s="2" t="n"/>
      <c r="N323" s="3">
        <f>IF(AND(M323&gt;0;L323&gt;0);1-L323/M323;"")</f>
        <v/>
      </c>
      <c r="O323" s="2">
        <f>IF(OR(Q323="";K323=0);"";(K323+IF(AM323&gt;0;AM323;'_Настройки'!$B$9)+AP323+AC323+Q323*K323)/(1-AH323-AD323))</f>
        <v/>
      </c>
      <c r="P323" s="2">
        <f>IF(O323="";"";O323-K323-O323*AH323-O323*AD323-IF(AM323&gt;0;AM323;'_Настройки'!$B$9)-AP323-AC323)</f>
        <v/>
      </c>
      <c r="Q323" s="3">
        <f>IF(AND(O323&gt;0;K323&gt;0);P323/K323;"")</f>
        <v/>
      </c>
      <c r="R323" s="2">
        <f>IF(O323="";"";O323-K323-O323*AK323-O323*AD323-IF(AM323&gt;0;AM323;'_Настройки'!$B$9)-AP323-AC323)</f>
        <v/>
      </c>
      <c r="S323" s="3">
        <f>IF(AND(O323&gt;0;K323&gt;0);R323/K323;"")</f>
        <v/>
      </c>
      <c r="T323" s="2" t="n"/>
      <c r="U323" s="3">
        <f>IF(AND(L323&gt;0;T323&gt;0);1-T323/L323;"")</f>
        <v/>
      </c>
      <c r="V323" s="3">
        <f>'_Настройки'!$B$4</f>
        <v/>
      </c>
      <c r="Z323" s="4">
        <f>IF(AND(W323&gt;0;X323&gt;0;Y323&gt;0);W323*X323*Y323/1000;"")</f>
        <v/>
      </c>
      <c r="AB323" s="2">
        <f>('_Настройки'!$B$6+MAX(0;Z323-1)*'_Настройки'!$B$7)*IF(AA323&gt;0;AA323;'_Настройки'!$B$10)</f>
        <v/>
      </c>
      <c r="AC323" s="2">
        <f>AB323*(1+'_Настройки'!$B$8)</f>
        <v/>
      </c>
      <c r="AD323" s="3">
        <f>'_Настройки'!$B$2</f>
        <v/>
      </c>
      <c r="AE323" s="2">
        <f>L323*AD323</f>
        <v/>
      </c>
      <c r="AF323" s="3">
        <f>'_Настройки'!$B$3</f>
        <v/>
      </c>
      <c r="AG323" s="3">
        <f>IFERROR(INDEX('_Комиссия_ВБ'!$B:$B;MATCH(C323;'_Комиссия_ВБ'!$A:$A;0));0,245)</f>
        <v/>
      </c>
      <c r="AH323" s="3">
        <f>AG323+AF323</f>
        <v/>
      </c>
      <c r="AI323" s="2">
        <f>L323*AH323</f>
        <v/>
      </c>
      <c r="AJ323" s="3">
        <f>IFERROR(INDEX('_Комиссия_ВБ'!$C:$C;MATCH(C323;'_Комиссия_ВБ'!$A:$A;0));0,28)</f>
        <v/>
      </c>
      <c r="AK323" s="3">
        <f>AJ323+AF323</f>
        <v/>
      </c>
      <c r="AL323" s="2">
        <f>L323*AK323</f>
        <v/>
      </c>
      <c r="AM323" s="2" t="n"/>
      <c r="AO323" s="3">
        <f>'_Настройки'!$B$5</f>
        <v/>
      </c>
      <c r="AP323" s="2">
        <f>IF(K323&gt;0;K323*AO323;0)</f>
        <v/>
      </c>
      <c r="AQ323" s="2">
        <f>L323-K323-AI323-AE323-IF(AM323&gt;0;AM323;'_Настройки'!$B$9)-AP323-AC323</f>
        <v/>
      </c>
      <c r="AR323" s="3">
        <f>IF(L323&gt;0;AQ323/L323;"")</f>
        <v/>
      </c>
      <c r="AS323" s="3">
        <f>IF(K323&gt;0;AQ323/K323;"")</f>
        <v/>
      </c>
      <c r="AT323" s="2">
        <f>L323-K323-AL323-AE323-IF(AM323&gt;0;AM323;'_Настройки'!$B$9)-AP323-AC323</f>
        <v/>
      </c>
      <c r="AU323" s="3">
        <f>IF(L323&gt;0;AT323/L323;"")</f>
        <v/>
      </c>
      <c r="AV323" s="3">
        <f>IF(K323&gt;0;AT323/K323;"")</f>
        <v/>
      </c>
    </row>
    <row r="324">
      <c r="A324">
        <f>ROW()-1</f>
        <v/>
      </c>
      <c r="K324" s="2">
        <f>IFERROR(INDEX('_Цены_закупки'!$B:$B;MATCH(C324;'_Цены_закупки'!$A:$A;0));"")</f>
        <v/>
      </c>
      <c r="L324" s="2" t="n"/>
      <c r="M324" s="2" t="n"/>
      <c r="N324" s="3">
        <f>IF(AND(M324&gt;0;L324&gt;0);1-L324/M324;"")</f>
        <v/>
      </c>
      <c r="O324" s="2">
        <f>IF(OR(Q324="";K324=0);"";(K324+IF(AM324&gt;0;AM324;'_Настройки'!$B$9)+AP324+AC324+Q324*K324)/(1-AH324-AD324))</f>
        <v/>
      </c>
      <c r="P324" s="2">
        <f>IF(O324="";"";O324-K324-O324*AH324-O324*AD324-IF(AM324&gt;0;AM324;'_Настройки'!$B$9)-AP324-AC324)</f>
        <v/>
      </c>
      <c r="Q324" s="3">
        <f>IF(AND(O324&gt;0;K324&gt;0);P324/K324;"")</f>
        <v/>
      </c>
      <c r="R324" s="2">
        <f>IF(O324="";"";O324-K324-O324*AK324-O324*AD324-IF(AM324&gt;0;AM324;'_Настройки'!$B$9)-AP324-AC324)</f>
        <v/>
      </c>
      <c r="S324" s="3">
        <f>IF(AND(O324&gt;0;K324&gt;0);R324/K324;"")</f>
        <v/>
      </c>
      <c r="T324" s="2" t="n"/>
      <c r="U324" s="3">
        <f>IF(AND(L324&gt;0;T324&gt;0);1-T324/L324;"")</f>
        <v/>
      </c>
      <c r="V324" s="3">
        <f>'_Настройки'!$B$4</f>
        <v/>
      </c>
      <c r="Z324" s="4">
        <f>IF(AND(W324&gt;0;X324&gt;0;Y324&gt;0);W324*X324*Y324/1000;"")</f>
        <v/>
      </c>
      <c r="AB324" s="2">
        <f>('_Настройки'!$B$6+MAX(0;Z324-1)*'_Настройки'!$B$7)*IF(AA324&gt;0;AA324;'_Настройки'!$B$10)</f>
        <v/>
      </c>
      <c r="AC324" s="2">
        <f>AB324*(1+'_Настройки'!$B$8)</f>
        <v/>
      </c>
      <c r="AD324" s="3">
        <f>'_Настройки'!$B$2</f>
        <v/>
      </c>
      <c r="AE324" s="2">
        <f>L324*AD324</f>
        <v/>
      </c>
      <c r="AF324" s="3">
        <f>'_Настройки'!$B$3</f>
        <v/>
      </c>
      <c r="AG324" s="3">
        <f>IFERROR(INDEX('_Комиссия_ВБ'!$B:$B;MATCH(C324;'_Комиссия_ВБ'!$A:$A;0));0,245)</f>
        <v/>
      </c>
      <c r="AH324" s="3">
        <f>AG324+AF324</f>
        <v/>
      </c>
      <c r="AI324" s="2">
        <f>L324*AH324</f>
        <v/>
      </c>
      <c r="AJ324" s="3">
        <f>IFERROR(INDEX('_Комиссия_ВБ'!$C:$C;MATCH(C324;'_Комиссия_ВБ'!$A:$A;0));0,28)</f>
        <v/>
      </c>
      <c r="AK324" s="3">
        <f>AJ324+AF324</f>
        <v/>
      </c>
      <c r="AL324" s="2">
        <f>L324*AK324</f>
        <v/>
      </c>
      <c r="AM324" s="2" t="n"/>
      <c r="AO324" s="3">
        <f>'_Настройки'!$B$5</f>
        <v/>
      </c>
      <c r="AP324" s="2">
        <f>IF(K324&gt;0;K324*AO324;0)</f>
        <v/>
      </c>
      <c r="AQ324" s="2">
        <f>L324-K324-AI324-AE324-IF(AM324&gt;0;AM324;'_Настройки'!$B$9)-AP324-AC324</f>
        <v/>
      </c>
      <c r="AR324" s="3">
        <f>IF(L324&gt;0;AQ324/L324;"")</f>
        <v/>
      </c>
      <c r="AS324" s="3">
        <f>IF(K324&gt;0;AQ324/K324;"")</f>
        <v/>
      </c>
      <c r="AT324" s="2">
        <f>L324-K324-AL324-AE324-IF(AM324&gt;0;AM324;'_Настройки'!$B$9)-AP324-AC324</f>
        <v/>
      </c>
      <c r="AU324" s="3">
        <f>IF(L324&gt;0;AT324/L324;"")</f>
        <v/>
      </c>
      <c r="AV324" s="3">
        <f>IF(K324&gt;0;AT324/K324;"")</f>
        <v/>
      </c>
    </row>
    <row r="325">
      <c r="A325">
        <f>ROW()-1</f>
        <v/>
      </c>
      <c r="K325" s="2">
        <f>IFERROR(INDEX('_Цены_закупки'!$B:$B;MATCH(C325;'_Цены_закупки'!$A:$A;0));"")</f>
        <v/>
      </c>
      <c r="L325" s="2" t="n"/>
      <c r="M325" s="2" t="n"/>
      <c r="N325" s="3">
        <f>IF(AND(M325&gt;0;L325&gt;0);1-L325/M325;"")</f>
        <v/>
      </c>
      <c r="O325" s="2">
        <f>IF(OR(Q325="";K325=0);"";(K325+IF(AM325&gt;0;AM325;'_Настройки'!$B$9)+AP325+AC325+Q325*K325)/(1-AH325-AD325))</f>
        <v/>
      </c>
      <c r="P325" s="2">
        <f>IF(O325="";"";O325-K325-O325*AH325-O325*AD325-IF(AM325&gt;0;AM325;'_Настройки'!$B$9)-AP325-AC325)</f>
        <v/>
      </c>
      <c r="Q325" s="3">
        <f>IF(AND(O325&gt;0;K325&gt;0);P325/K325;"")</f>
        <v/>
      </c>
      <c r="R325" s="2">
        <f>IF(O325="";"";O325-K325-O325*AK325-O325*AD325-IF(AM325&gt;0;AM325;'_Настройки'!$B$9)-AP325-AC325)</f>
        <v/>
      </c>
      <c r="S325" s="3">
        <f>IF(AND(O325&gt;0;K325&gt;0);R325/K325;"")</f>
        <v/>
      </c>
      <c r="T325" s="2" t="n"/>
      <c r="U325" s="3">
        <f>IF(AND(L325&gt;0;T325&gt;0);1-T325/L325;"")</f>
        <v/>
      </c>
      <c r="V325" s="3">
        <f>'_Настройки'!$B$4</f>
        <v/>
      </c>
      <c r="Z325" s="4">
        <f>IF(AND(W325&gt;0;X325&gt;0;Y325&gt;0);W325*X325*Y325/1000;"")</f>
        <v/>
      </c>
      <c r="AB325" s="2">
        <f>('_Настройки'!$B$6+MAX(0;Z325-1)*'_Настройки'!$B$7)*IF(AA325&gt;0;AA325;'_Настройки'!$B$10)</f>
        <v/>
      </c>
      <c r="AC325" s="2">
        <f>AB325*(1+'_Настройки'!$B$8)</f>
        <v/>
      </c>
      <c r="AD325" s="3">
        <f>'_Настройки'!$B$2</f>
        <v/>
      </c>
      <c r="AE325" s="2">
        <f>L325*AD325</f>
        <v/>
      </c>
      <c r="AF325" s="3">
        <f>'_Настройки'!$B$3</f>
        <v/>
      </c>
      <c r="AG325" s="3">
        <f>IFERROR(INDEX('_Комиссия_ВБ'!$B:$B;MATCH(C325;'_Комиссия_ВБ'!$A:$A;0));0,245)</f>
        <v/>
      </c>
      <c r="AH325" s="3">
        <f>AG325+AF325</f>
        <v/>
      </c>
      <c r="AI325" s="2">
        <f>L325*AH325</f>
        <v/>
      </c>
      <c r="AJ325" s="3">
        <f>IFERROR(INDEX('_Комиссия_ВБ'!$C:$C;MATCH(C325;'_Комиссия_ВБ'!$A:$A;0));0,28)</f>
        <v/>
      </c>
      <c r="AK325" s="3">
        <f>AJ325+AF325</f>
        <v/>
      </c>
      <c r="AL325" s="2">
        <f>L325*AK325</f>
        <v/>
      </c>
      <c r="AM325" s="2" t="n"/>
      <c r="AO325" s="3">
        <f>'_Настройки'!$B$5</f>
        <v/>
      </c>
      <c r="AP325" s="2">
        <f>IF(K325&gt;0;K325*AO325;0)</f>
        <v/>
      </c>
      <c r="AQ325" s="2">
        <f>L325-K325-AI325-AE325-IF(AM325&gt;0;AM325;'_Настройки'!$B$9)-AP325-AC325</f>
        <v/>
      </c>
      <c r="AR325" s="3">
        <f>IF(L325&gt;0;AQ325/L325;"")</f>
        <v/>
      </c>
      <c r="AS325" s="3">
        <f>IF(K325&gt;0;AQ325/K325;"")</f>
        <v/>
      </c>
      <c r="AT325" s="2">
        <f>L325-K325-AL325-AE325-IF(AM325&gt;0;AM325;'_Настройки'!$B$9)-AP325-AC325</f>
        <v/>
      </c>
      <c r="AU325" s="3">
        <f>IF(L325&gt;0;AT325/L325;"")</f>
        <v/>
      </c>
      <c r="AV325" s="3">
        <f>IF(K325&gt;0;AT325/K325;"")</f>
        <v/>
      </c>
    </row>
    <row r="326">
      <c r="A326">
        <f>ROW()-1</f>
        <v/>
      </c>
      <c r="K326" s="2">
        <f>IFERROR(INDEX('_Цены_закупки'!$B:$B;MATCH(C326;'_Цены_закупки'!$A:$A;0));"")</f>
        <v/>
      </c>
      <c r="L326" s="2" t="n"/>
      <c r="M326" s="2" t="n"/>
      <c r="N326" s="3">
        <f>IF(AND(M326&gt;0;L326&gt;0);1-L326/M326;"")</f>
        <v/>
      </c>
      <c r="O326" s="2">
        <f>IF(OR(Q326="";K326=0);"";(K326+IF(AM326&gt;0;AM326;'_Настройки'!$B$9)+AP326+AC326+Q326*K326)/(1-AH326-AD326))</f>
        <v/>
      </c>
      <c r="P326" s="2">
        <f>IF(O326="";"";O326-K326-O326*AH326-O326*AD326-IF(AM326&gt;0;AM326;'_Настройки'!$B$9)-AP326-AC326)</f>
        <v/>
      </c>
      <c r="Q326" s="3">
        <f>IF(AND(O326&gt;0;K326&gt;0);P326/K326;"")</f>
        <v/>
      </c>
      <c r="R326" s="2">
        <f>IF(O326="";"";O326-K326-O326*AK326-O326*AD326-IF(AM326&gt;0;AM326;'_Настройки'!$B$9)-AP326-AC326)</f>
        <v/>
      </c>
      <c r="S326" s="3">
        <f>IF(AND(O326&gt;0;K326&gt;0);R326/K326;"")</f>
        <v/>
      </c>
      <c r="T326" s="2" t="n"/>
      <c r="U326" s="3">
        <f>IF(AND(L326&gt;0;T326&gt;0);1-T326/L326;"")</f>
        <v/>
      </c>
      <c r="V326" s="3">
        <f>'_Настройки'!$B$4</f>
        <v/>
      </c>
      <c r="Z326" s="4">
        <f>IF(AND(W326&gt;0;X326&gt;0;Y326&gt;0);W326*X326*Y326/1000;"")</f>
        <v/>
      </c>
      <c r="AB326" s="2">
        <f>('_Настройки'!$B$6+MAX(0;Z326-1)*'_Настройки'!$B$7)*IF(AA326&gt;0;AA326;'_Настройки'!$B$10)</f>
        <v/>
      </c>
      <c r="AC326" s="2">
        <f>AB326*(1+'_Настройки'!$B$8)</f>
        <v/>
      </c>
      <c r="AD326" s="3">
        <f>'_Настройки'!$B$2</f>
        <v/>
      </c>
      <c r="AE326" s="2">
        <f>L326*AD326</f>
        <v/>
      </c>
      <c r="AF326" s="3">
        <f>'_Настройки'!$B$3</f>
        <v/>
      </c>
      <c r="AG326" s="3">
        <f>IFERROR(INDEX('_Комиссия_ВБ'!$B:$B;MATCH(C326;'_Комиссия_ВБ'!$A:$A;0));0,245)</f>
        <v/>
      </c>
      <c r="AH326" s="3">
        <f>AG326+AF326</f>
        <v/>
      </c>
      <c r="AI326" s="2">
        <f>L326*AH326</f>
        <v/>
      </c>
      <c r="AJ326" s="3">
        <f>IFERROR(INDEX('_Комиссия_ВБ'!$C:$C;MATCH(C326;'_Комиссия_ВБ'!$A:$A;0));0,28)</f>
        <v/>
      </c>
      <c r="AK326" s="3">
        <f>AJ326+AF326</f>
        <v/>
      </c>
      <c r="AL326" s="2">
        <f>L326*AK326</f>
        <v/>
      </c>
      <c r="AM326" s="2" t="n"/>
      <c r="AO326" s="3">
        <f>'_Настройки'!$B$5</f>
        <v/>
      </c>
      <c r="AP326" s="2">
        <f>IF(K326&gt;0;K326*AO326;0)</f>
        <v/>
      </c>
      <c r="AQ326" s="2">
        <f>L326-K326-AI326-AE326-IF(AM326&gt;0;AM326;'_Настройки'!$B$9)-AP326-AC326</f>
        <v/>
      </c>
      <c r="AR326" s="3">
        <f>IF(L326&gt;0;AQ326/L326;"")</f>
        <v/>
      </c>
      <c r="AS326" s="3">
        <f>IF(K326&gt;0;AQ326/K326;"")</f>
        <v/>
      </c>
      <c r="AT326" s="2">
        <f>L326-K326-AL326-AE326-IF(AM326&gt;0;AM326;'_Настройки'!$B$9)-AP326-AC326</f>
        <v/>
      </c>
      <c r="AU326" s="3">
        <f>IF(L326&gt;0;AT326/L326;"")</f>
        <v/>
      </c>
      <c r="AV326" s="3">
        <f>IF(K326&gt;0;AT326/K326;"")</f>
        <v/>
      </c>
    </row>
    <row r="327">
      <c r="A327">
        <f>ROW()-1</f>
        <v/>
      </c>
      <c r="K327" s="2">
        <f>IFERROR(INDEX('_Цены_закупки'!$B:$B;MATCH(C327;'_Цены_закупки'!$A:$A;0));"")</f>
        <v/>
      </c>
      <c r="L327" s="2" t="n"/>
      <c r="M327" s="2" t="n"/>
      <c r="N327" s="3">
        <f>IF(AND(M327&gt;0;L327&gt;0);1-L327/M327;"")</f>
        <v/>
      </c>
      <c r="O327" s="2">
        <f>IF(OR(Q327="";K327=0);"";(K327+IF(AM327&gt;0;AM327;'_Настройки'!$B$9)+AP327+AC327+Q327*K327)/(1-AH327-AD327))</f>
        <v/>
      </c>
      <c r="P327" s="2">
        <f>IF(O327="";"";O327-K327-O327*AH327-O327*AD327-IF(AM327&gt;0;AM327;'_Настройки'!$B$9)-AP327-AC327)</f>
        <v/>
      </c>
      <c r="Q327" s="3">
        <f>IF(AND(O327&gt;0;K327&gt;0);P327/K327;"")</f>
        <v/>
      </c>
      <c r="R327" s="2">
        <f>IF(O327="";"";O327-K327-O327*AK327-O327*AD327-IF(AM327&gt;0;AM327;'_Настройки'!$B$9)-AP327-AC327)</f>
        <v/>
      </c>
      <c r="S327" s="3">
        <f>IF(AND(O327&gt;0;K327&gt;0);R327/K327;"")</f>
        <v/>
      </c>
      <c r="T327" s="2" t="n"/>
      <c r="U327" s="3">
        <f>IF(AND(L327&gt;0;T327&gt;0);1-T327/L327;"")</f>
        <v/>
      </c>
      <c r="V327" s="3">
        <f>'_Настройки'!$B$4</f>
        <v/>
      </c>
      <c r="Z327" s="4">
        <f>IF(AND(W327&gt;0;X327&gt;0;Y327&gt;0);W327*X327*Y327/1000;"")</f>
        <v/>
      </c>
      <c r="AB327" s="2">
        <f>('_Настройки'!$B$6+MAX(0;Z327-1)*'_Настройки'!$B$7)*IF(AA327&gt;0;AA327;'_Настройки'!$B$10)</f>
        <v/>
      </c>
      <c r="AC327" s="2">
        <f>AB327*(1+'_Настройки'!$B$8)</f>
        <v/>
      </c>
      <c r="AD327" s="3">
        <f>'_Настройки'!$B$2</f>
        <v/>
      </c>
      <c r="AE327" s="2">
        <f>L327*AD327</f>
        <v/>
      </c>
      <c r="AF327" s="3">
        <f>'_Настройки'!$B$3</f>
        <v/>
      </c>
      <c r="AG327" s="3">
        <f>IFERROR(INDEX('_Комиссия_ВБ'!$B:$B;MATCH(C327;'_Комиссия_ВБ'!$A:$A;0));0,245)</f>
        <v/>
      </c>
      <c r="AH327" s="3">
        <f>AG327+AF327</f>
        <v/>
      </c>
      <c r="AI327" s="2">
        <f>L327*AH327</f>
        <v/>
      </c>
      <c r="AJ327" s="3">
        <f>IFERROR(INDEX('_Комиссия_ВБ'!$C:$C;MATCH(C327;'_Комиссия_ВБ'!$A:$A;0));0,28)</f>
        <v/>
      </c>
      <c r="AK327" s="3">
        <f>AJ327+AF327</f>
        <v/>
      </c>
      <c r="AL327" s="2">
        <f>L327*AK327</f>
        <v/>
      </c>
      <c r="AM327" s="2" t="n"/>
      <c r="AO327" s="3">
        <f>'_Настройки'!$B$5</f>
        <v/>
      </c>
      <c r="AP327" s="2">
        <f>IF(K327&gt;0;K327*AO327;0)</f>
        <v/>
      </c>
      <c r="AQ327" s="2">
        <f>L327-K327-AI327-AE327-IF(AM327&gt;0;AM327;'_Настройки'!$B$9)-AP327-AC327</f>
        <v/>
      </c>
      <c r="AR327" s="3">
        <f>IF(L327&gt;0;AQ327/L327;"")</f>
        <v/>
      </c>
      <c r="AS327" s="3">
        <f>IF(K327&gt;0;AQ327/K327;"")</f>
        <v/>
      </c>
      <c r="AT327" s="2">
        <f>L327-K327-AL327-AE327-IF(AM327&gt;0;AM327;'_Настройки'!$B$9)-AP327-AC327</f>
        <v/>
      </c>
      <c r="AU327" s="3">
        <f>IF(L327&gt;0;AT327/L327;"")</f>
        <v/>
      </c>
      <c r="AV327" s="3">
        <f>IF(K327&gt;0;AT327/K327;"")</f>
        <v/>
      </c>
    </row>
    <row r="328">
      <c r="A328">
        <f>ROW()-1</f>
        <v/>
      </c>
      <c r="K328" s="2">
        <f>IFERROR(INDEX('_Цены_закупки'!$B:$B;MATCH(C328;'_Цены_закупки'!$A:$A;0));"")</f>
        <v/>
      </c>
      <c r="L328" s="2" t="n"/>
      <c r="M328" s="2" t="n"/>
      <c r="N328" s="3">
        <f>IF(AND(M328&gt;0;L328&gt;0);1-L328/M328;"")</f>
        <v/>
      </c>
      <c r="O328" s="2">
        <f>IF(OR(Q328="";K328=0);"";(K328+IF(AM328&gt;0;AM328;'_Настройки'!$B$9)+AP328+AC328+Q328*K328)/(1-AH328-AD328))</f>
        <v/>
      </c>
      <c r="P328" s="2">
        <f>IF(O328="";"";O328-K328-O328*AH328-O328*AD328-IF(AM328&gt;0;AM328;'_Настройки'!$B$9)-AP328-AC328)</f>
        <v/>
      </c>
      <c r="Q328" s="3">
        <f>IF(AND(O328&gt;0;K328&gt;0);P328/K328;"")</f>
        <v/>
      </c>
      <c r="R328" s="2">
        <f>IF(O328="";"";O328-K328-O328*AK328-O328*AD328-IF(AM328&gt;0;AM328;'_Настройки'!$B$9)-AP328-AC328)</f>
        <v/>
      </c>
      <c r="S328" s="3">
        <f>IF(AND(O328&gt;0;K328&gt;0);R328/K328;"")</f>
        <v/>
      </c>
      <c r="T328" s="2" t="n"/>
      <c r="U328" s="3">
        <f>IF(AND(L328&gt;0;T328&gt;0);1-T328/L328;"")</f>
        <v/>
      </c>
      <c r="V328" s="3">
        <f>'_Настройки'!$B$4</f>
        <v/>
      </c>
      <c r="Z328" s="4">
        <f>IF(AND(W328&gt;0;X328&gt;0;Y328&gt;0);W328*X328*Y328/1000;"")</f>
        <v/>
      </c>
      <c r="AB328" s="2">
        <f>('_Настройки'!$B$6+MAX(0;Z328-1)*'_Настройки'!$B$7)*IF(AA328&gt;0;AA328;'_Настройки'!$B$10)</f>
        <v/>
      </c>
      <c r="AC328" s="2">
        <f>AB328*(1+'_Настройки'!$B$8)</f>
        <v/>
      </c>
      <c r="AD328" s="3">
        <f>'_Настройки'!$B$2</f>
        <v/>
      </c>
      <c r="AE328" s="2">
        <f>L328*AD328</f>
        <v/>
      </c>
      <c r="AF328" s="3">
        <f>'_Настройки'!$B$3</f>
        <v/>
      </c>
      <c r="AG328" s="3">
        <f>IFERROR(INDEX('_Комиссия_ВБ'!$B:$B;MATCH(C328;'_Комиссия_ВБ'!$A:$A;0));0,245)</f>
        <v/>
      </c>
      <c r="AH328" s="3">
        <f>AG328+AF328</f>
        <v/>
      </c>
      <c r="AI328" s="2">
        <f>L328*AH328</f>
        <v/>
      </c>
      <c r="AJ328" s="3">
        <f>IFERROR(INDEX('_Комиссия_ВБ'!$C:$C;MATCH(C328;'_Комиссия_ВБ'!$A:$A;0));0,28)</f>
        <v/>
      </c>
      <c r="AK328" s="3">
        <f>AJ328+AF328</f>
        <v/>
      </c>
      <c r="AL328" s="2">
        <f>L328*AK328</f>
        <v/>
      </c>
      <c r="AM328" s="2" t="n"/>
      <c r="AO328" s="3">
        <f>'_Настройки'!$B$5</f>
        <v/>
      </c>
      <c r="AP328" s="2">
        <f>IF(K328&gt;0;K328*AO328;0)</f>
        <v/>
      </c>
      <c r="AQ328" s="2">
        <f>L328-K328-AI328-AE328-IF(AM328&gt;0;AM328;'_Настройки'!$B$9)-AP328-AC328</f>
        <v/>
      </c>
      <c r="AR328" s="3">
        <f>IF(L328&gt;0;AQ328/L328;"")</f>
        <v/>
      </c>
      <c r="AS328" s="3">
        <f>IF(K328&gt;0;AQ328/K328;"")</f>
        <v/>
      </c>
      <c r="AT328" s="2">
        <f>L328-K328-AL328-AE328-IF(AM328&gt;0;AM328;'_Настройки'!$B$9)-AP328-AC328</f>
        <v/>
      </c>
      <c r="AU328" s="3">
        <f>IF(L328&gt;0;AT328/L328;"")</f>
        <v/>
      </c>
      <c r="AV328" s="3">
        <f>IF(K328&gt;0;AT328/K328;"")</f>
        <v/>
      </c>
    </row>
    <row r="329">
      <c r="A329">
        <f>ROW()-1</f>
        <v/>
      </c>
      <c r="K329" s="2">
        <f>IFERROR(INDEX('_Цены_закупки'!$B:$B;MATCH(C329;'_Цены_закупки'!$A:$A;0));"")</f>
        <v/>
      </c>
      <c r="L329" s="2" t="n"/>
      <c r="M329" s="2" t="n"/>
      <c r="N329" s="3">
        <f>IF(AND(M329&gt;0;L329&gt;0);1-L329/M329;"")</f>
        <v/>
      </c>
      <c r="O329" s="2">
        <f>IF(OR(Q329="";K329=0);"";(K329+IF(AM329&gt;0;AM329;'_Настройки'!$B$9)+AP329+AC329+Q329*K329)/(1-AH329-AD329))</f>
        <v/>
      </c>
      <c r="P329" s="2">
        <f>IF(O329="";"";O329-K329-O329*AH329-O329*AD329-IF(AM329&gt;0;AM329;'_Настройки'!$B$9)-AP329-AC329)</f>
        <v/>
      </c>
      <c r="Q329" s="3">
        <f>IF(AND(O329&gt;0;K329&gt;0);P329/K329;"")</f>
        <v/>
      </c>
      <c r="R329" s="2">
        <f>IF(O329="";"";O329-K329-O329*AK329-O329*AD329-IF(AM329&gt;0;AM329;'_Настройки'!$B$9)-AP329-AC329)</f>
        <v/>
      </c>
      <c r="S329" s="3">
        <f>IF(AND(O329&gt;0;K329&gt;0);R329/K329;"")</f>
        <v/>
      </c>
      <c r="T329" s="2" t="n"/>
      <c r="U329" s="3">
        <f>IF(AND(L329&gt;0;T329&gt;0);1-T329/L329;"")</f>
        <v/>
      </c>
      <c r="V329" s="3">
        <f>'_Настройки'!$B$4</f>
        <v/>
      </c>
      <c r="Z329" s="4">
        <f>IF(AND(W329&gt;0;X329&gt;0;Y329&gt;0);W329*X329*Y329/1000;"")</f>
        <v/>
      </c>
      <c r="AB329" s="2">
        <f>('_Настройки'!$B$6+MAX(0;Z329-1)*'_Настройки'!$B$7)*IF(AA329&gt;0;AA329;'_Настройки'!$B$10)</f>
        <v/>
      </c>
      <c r="AC329" s="2">
        <f>AB329*(1+'_Настройки'!$B$8)</f>
        <v/>
      </c>
      <c r="AD329" s="3">
        <f>'_Настройки'!$B$2</f>
        <v/>
      </c>
      <c r="AE329" s="2">
        <f>L329*AD329</f>
        <v/>
      </c>
      <c r="AF329" s="3">
        <f>'_Настройки'!$B$3</f>
        <v/>
      </c>
      <c r="AG329" s="3">
        <f>IFERROR(INDEX('_Комиссия_ВБ'!$B:$B;MATCH(C329;'_Комиссия_ВБ'!$A:$A;0));0,245)</f>
        <v/>
      </c>
      <c r="AH329" s="3">
        <f>AG329+AF329</f>
        <v/>
      </c>
      <c r="AI329" s="2">
        <f>L329*AH329</f>
        <v/>
      </c>
      <c r="AJ329" s="3">
        <f>IFERROR(INDEX('_Комиссия_ВБ'!$C:$C;MATCH(C329;'_Комиссия_ВБ'!$A:$A;0));0,28)</f>
        <v/>
      </c>
      <c r="AK329" s="3">
        <f>AJ329+AF329</f>
        <v/>
      </c>
      <c r="AL329" s="2">
        <f>L329*AK329</f>
        <v/>
      </c>
      <c r="AM329" s="2" t="n"/>
      <c r="AO329" s="3">
        <f>'_Настройки'!$B$5</f>
        <v/>
      </c>
      <c r="AP329" s="2">
        <f>IF(K329&gt;0;K329*AO329;0)</f>
        <v/>
      </c>
      <c r="AQ329" s="2">
        <f>L329-K329-AI329-AE329-IF(AM329&gt;0;AM329;'_Настройки'!$B$9)-AP329-AC329</f>
        <v/>
      </c>
      <c r="AR329" s="3">
        <f>IF(L329&gt;0;AQ329/L329;"")</f>
        <v/>
      </c>
      <c r="AS329" s="3">
        <f>IF(K329&gt;0;AQ329/K329;"")</f>
        <v/>
      </c>
      <c r="AT329" s="2">
        <f>L329-K329-AL329-AE329-IF(AM329&gt;0;AM329;'_Настройки'!$B$9)-AP329-AC329</f>
        <v/>
      </c>
      <c r="AU329" s="3">
        <f>IF(L329&gt;0;AT329/L329;"")</f>
        <v/>
      </c>
      <c r="AV329" s="3">
        <f>IF(K329&gt;0;AT329/K329;"")</f>
        <v/>
      </c>
    </row>
    <row r="330">
      <c r="A330">
        <f>ROW()-1</f>
        <v/>
      </c>
      <c r="K330" s="2">
        <f>IFERROR(INDEX('_Цены_закупки'!$B:$B;MATCH(C330;'_Цены_закупки'!$A:$A;0));"")</f>
        <v/>
      </c>
      <c r="L330" s="2" t="n"/>
      <c r="M330" s="2" t="n"/>
      <c r="N330" s="3">
        <f>IF(AND(M330&gt;0;L330&gt;0);1-L330/M330;"")</f>
        <v/>
      </c>
      <c r="O330" s="2">
        <f>IF(OR(Q330="";K330=0);"";(K330+IF(AM330&gt;0;AM330;'_Настройки'!$B$9)+AP330+AC330+Q330*K330)/(1-AH330-AD330))</f>
        <v/>
      </c>
      <c r="P330" s="2">
        <f>IF(O330="";"";O330-K330-O330*AH330-O330*AD330-IF(AM330&gt;0;AM330;'_Настройки'!$B$9)-AP330-AC330)</f>
        <v/>
      </c>
      <c r="Q330" s="3">
        <f>IF(AND(O330&gt;0;K330&gt;0);P330/K330;"")</f>
        <v/>
      </c>
      <c r="R330" s="2">
        <f>IF(O330="";"";O330-K330-O330*AK330-O330*AD330-IF(AM330&gt;0;AM330;'_Настройки'!$B$9)-AP330-AC330)</f>
        <v/>
      </c>
      <c r="S330" s="3">
        <f>IF(AND(O330&gt;0;K330&gt;0);R330/K330;"")</f>
        <v/>
      </c>
      <c r="T330" s="2" t="n"/>
      <c r="U330" s="3">
        <f>IF(AND(L330&gt;0;T330&gt;0);1-T330/L330;"")</f>
        <v/>
      </c>
      <c r="V330" s="3">
        <f>'_Настройки'!$B$4</f>
        <v/>
      </c>
      <c r="Z330" s="4">
        <f>IF(AND(W330&gt;0;X330&gt;0;Y330&gt;0);W330*X330*Y330/1000;"")</f>
        <v/>
      </c>
      <c r="AB330" s="2">
        <f>('_Настройки'!$B$6+MAX(0;Z330-1)*'_Настройки'!$B$7)*IF(AA330&gt;0;AA330;'_Настройки'!$B$10)</f>
        <v/>
      </c>
      <c r="AC330" s="2">
        <f>AB330*(1+'_Настройки'!$B$8)</f>
        <v/>
      </c>
      <c r="AD330" s="3">
        <f>'_Настройки'!$B$2</f>
        <v/>
      </c>
      <c r="AE330" s="2">
        <f>L330*AD330</f>
        <v/>
      </c>
      <c r="AF330" s="3">
        <f>'_Настройки'!$B$3</f>
        <v/>
      </c>
      <c r="AG330" s="3">
        <f>IFERROR(INDEX('_Комиссия_ВБ'!$B:$B;MATCH(C330;'_Комиссия_ВБ'!$A:$A;0));0,245)</f>
        <v/>
      </c>
      <c r="AH330" s="3">
        <f>AG330+AF330</f>
        <v/>
      </c>
      <c r="AI330" s="2">
        <f>L330*AH330</f>
        <v/>
      </c>
      <c r="AJ330" s="3">
        <f>IFERROR(INDEX('_Комиссия_ВБ'!$C:$C;MATCH(C330;'_Комиссия_ВБ'!$A:$A;0));0,28)</f>
        <v/>
      </c>
      <c r="AK330" s="3">
        <f>AJ330+AF330</f>
        <v/>
      </c>
      <c r="AL330" s="2">
        <f>L330*AK330</f>
        <v/>
      </c>
      <c r="AM330" s="2" t="n"/>
      <c r="AO330" s="3">
        <f>'_Настройки'!$B$5</f>
        <v/>
      </c>
      <c r="AP330" s="2">
        <f>IF(K330&gt;0;K330*AO330;0)</f>
        <v/>
      </c>
      <c r="AQ330" s="2">
        <f>L330-K330-AI330-AE330-IF(AM330&gt;0;AM330;'_Настройки'!$B$9)-AP330-AC330</f>
        <v/>
      </c>
      <c r="AR330" s="3">
        <f>IF(L330&gt;0;AQ330/L330;"")</f>
        <v/>
      </c>
      <c r="AS330" s="3">
        <f>IF(K330&gt;0;AQ330/K330;"")</f>
        <v/>
      </c>
      <c r="AT330" s="2">
        <f>L330-K330-AL330-AE330-IF(AM330&gt;0;AM330;'_Настройки'!$B$9)-AP330-AC330</f>
        <v/>
      </c>
      <c r="AU330" s="3">
        <f>IF(L330&gt;0;AT330/L330;"")</f>
        <v/>
      </c>
      <c r="AV330" s="3">
        <f>IF(K330&gt;0;AT330/K330;"")</f>
        <v/>
      </c>
    </row>
    <row r="331">
      <c r="A331">
        <f>ROW()-1</f>
        <v/>
      </c>
      <c r="K331" s="2">
        <f>IFERROR(INDEX('_Цены_закупки'!$B:$B;MATCH(C331;'_Цены_закупки'!$A:$A;0));"")</f>
        <v/>
      </c>
      <c r="L331" s="2" t="n"/>
      <c r="M331" s="2" t="n"/>
      <c r="N331" s="3">
        <f>IF(AND(M331&gt;0;L331&gt;0);1-L331/M331;"")</f>
        <v/>
      </c>
      <c r="O331" s="2">
        <f>IF(OR(Q331="";K331=0);"";(K331+IF(AM331&gt;0;AM331;'_Настройки'!$B$9)+AP331+AC331+Q331*K331)/(1-AH331-AD331))</f>
        <v/>
      </c>
      <c r="P331" s="2">
        <f>IF(O331="";"";O331-K331-O331*AH331-O331*AD331-IF(AM331&gt;0;AM331;'_Настройки'!$B$9)-AP331-AC331)</f>
        <v/>
      </c>
      <c r="Q331" s="3">
        <f>IF(AND(O331&gt;0;K331&gt;0);P331/K331;"")</f>
        <v/>
      </c>
      <c r="R331" s="2">
        <f>IF(O331="";"";O331-K331-O331*AK331-O331*AD331-IF(AM331&gt;0;AM331;'_Настройки'!$B$9)-AP331-AC331)</f>
        <v/>
      </c>
      <c r="S331" s="3">
        <f>IF(AND(O331&gt;0;K331&gt;0);R331/K331;"")</f>
        <v/>
      </c>
      <c r="T331" s="2" t="n"/>
      <c r="U331" s="3">
        <f>IF(AND(L331&gt;0;T331&gt;0);1-T331/L331;"")</f>
        <v/>
      </c>
      <c r="V331" s="3">
        <f>'_Настройки'!$B$4</f>
        <v/>
      </c>
      <c r="Z331" s="4">
        <f>IF(AND(W331&gt;0;X331&gt;0;Y331&gt;0);W331*X331*Y331/1000;"")</f>
        <v/>
      </c>
      <c r="AB331" s="2">
        <f>('_Настройки'!$B$6+MAX(0;Z331-1)*'_Настройки'!$B$7)*IF(AA331&gt;0;AA331;'_Настройки'!$B$10)</f>
        <v/>
      </c>
      <c r="AC331" s="2">
        <f>AB331*(1+'_Настройки'!$B$8)</f>
        <v/>
      </c>
      <c r="AD331" s="3">
        <f>'_Настройки'!$B$2</f>
        <v/>
      </c>
      <c r="AE331" s="2">
        <f>L331*AD331</f>
        <v/>
      </c>
      <c r="AF331" s="3">
        <f>'_Настройки'!$B$3</f>
        <v/>
      </c>
      <c r="AG331" s="3">
        <f>IFERROR(INDEX('_Комиссия_ВБ'!$B:$B;MATCH(C331;'_Комиссия_ВБ'!$A:$A;0));0,245)</f>
        <v/>
      </c>
      <c r="AH331" s="3">
        <f>AG331+AF331</f>
        <v/>
      </c>
      <c r="AI331" s="2">
        <f>L331*AH331</f>
        <v/>
      </c>
      <c r="AJ331" s="3">
        <f>IFERROR(INDEX('_Комиссия_ВБ'!$C:$C;MATCH(C331;'_Комиссия_ВБ'!$A:$A;0));0,28)</f>
        <v/>
      </c>
      <c r="AK331" s="3">
        <f>AJ331+AF331</f>
        <v/>
      </c>
      <c r="AL331" s="2">
        <f>L331*AK331</f>
        <v/>
      </c>
      <c r="AM331" s="2" t="n"/>
      <c r="AO331" s="3">
        <f>'_Настройки'!$B$5</f>
        <v/>
      </c>
      <c r="AP331" s="2">
        <f>IF(K331&gt;0;K331*AO331;0)</f>
        <v/>
      </c>
      <c r="AQ331" s="2">
        <f>L331-K331-AI331-AE331-IF(AM331&gt;0;AM331;'_Настройки'!$B$9)-AP331-AC331</f>
        <v/>
      </c>
      <c r="AR331" s="3">
        <f>IF(L331&gt;0;AQ331/L331;"")</f>
        <v/>
      </c>
      <c r="AS331" s="3">
        <f>IF(K331&gt;0;AQ331/K331;"")</f>
        <v/>
      </c>
      <c r="AT331" s="2">
        <f>L331-K331-AL331-AE331-IF(AM331&gt;0;AM331;'_Настройки'!$B$9)-AP331-AC331</f>
        <v/>
      </c>
      <c r="AU331" s="3">
        <f>IF(L331&gt;0;AT331/L331;"")</f>
        <v/>
      </c>
      <c r="AV331" s="3">
        <f>IF(K331&gt;0;AT331/K331;"")</f>
        <v/>
      </c>
    </row>
    <row r="332">
      <c r="A332">
        <f>ROW()-1</f>
        <v/>
      </c>
      <c r="K332" s="2">
        <f>IFERROR(INDEX('_Цены_закупки'!$B:$B;MATCH(C332;'_Цены_закупки'!$A:$A;0));"")</f>
        <v/>
      </c>
      <c r="L332" s="2" t="n"/>
      <c r="M332" s="2" t="n"/>
      <c r="N332" s="3">
        <f>IF(AND(M332&gt;0;L332&gt;0);1-L332/M332;"")</f>
        <v/>
      </c>
      <c r="O332" s="2">
        <f>IF(OR(Q332="";K332=0);"";(K332+IF(AM332&gt;0;AM332;'_Настройки'!$B$9)+AP332+AC332+Q332*K332)/(1-AH332-AD332))</f>
        <v/>
      </c>
      <c r="P332" s="2">
        <f>IF(O332="";"";O332-K332-O332*AH332-O332*AD332-IF(AM332&gt;0;AM332;'_Настройки'!$B$9)-AP332-AC332)</f>
        <v/>
      </c>
      <c r="Q332" s="3">
        <f>IF(AND(O332&gt;0;K332&gt;0);P332/K332;"")</f>
        <v/>
      </c>
      <c r="R332" s="2">
        <f>IF(O332="";"";O332-K332-O332*AK332-O332*AD332-IF(AM332&gt;0;AM332;'_Настройки'!$B$9)-AP332-AC332)</f>
        <v/>
      </c>
      <c r="S332" s="3">
        <f>IF(AND(O332&gt;0;K332&gt;0);R332/K332;"")</f>
        <v/>
      </c>
      <c r="T332" s="2" t="n"/>
      <c r="U332" s="3">
        <f>IF(AND(L332&gt;0;T332&gt;0);1-T332/L332;"")</f>
        <v/>
      </c>
      <c r="V332" s="3">
        <f>'_Настройки'!$B$4</f>
        <v/>
      </c>
      <c r="Z332" s="4">
        <f>IF(AND(W332&gt;0;X332&gt;0;Y332&gt;0);W332*X332*Y332/1000;"")</f>
        <v/>
      </c>
      <c r="AB332" s="2">
        <f>('_Настройки'!$B$6+MAX(0;Z332-1)*'_Настройки'!$B$7)*IF(AA332&gt;0;AA332;'_Настройки'!$B$10)</f>
        <v/>
      </c>
      <c r="AC332" s="2">
        <f>AB332*(1+'_Настройки'!$B$8)</f>
        <v/>
      </c>
      <c r="AD332" s="3">
        <f>'_Настройки'!$B$2</f>
        <v/>
      </c>
      <c r="AE332" s="2">
        <f>L332*AD332</f>
        <v/>
      </c>
      <c r="AF332" s="3">
        <f>'_Настройки'!$B$3</f>
        <v/>
      </c>
      <c r="AG332" s="3">
        <f>IFERROR(INDEX('_Комиссия_ВБ'!$B:$B;MATCH(C332;'_Комиссия_ВБ'!$A:$A;0));0,245)</f>
        <v/>
      </c>
      <c r="AH332" s="3">
        <f>AG332+AF332</f>
        <v/>
      </c>
      <c r="AI332" s="2">
        <f>L332*AH332</f>
        <v/>
      </c>
      <c r="AJ332" s="3">
        <f>IFERROR(INDEX('_Комиссия_ВБ'!$C:$C;MATCH(C332;'_Комиссия_ВБ'!$A:$A;0));0,28)</f>
        <v/>
      </c>
      <c r="AK332" s="3">
        <f>AJ332+AF332</f>
        <v/>
      </c>
      <c r="AL332" s="2">
        <f>L332*AK332</f>
        <v/>
      </c>
      <c r="AM332" s="2" t="n"/>
      <c r="AO332" s="3">
        <f>'_Настройки'!$B$5</f>
        <v/>
      </c>
      <c r="AP332" s="2">
        <f>IF(K332&gt;0;K332*AO332;0)</f>
        <v/>
      </c>
      <c r="AQ332" s="2">
        <f>L332-K332-AI332-AE332-IF(AM332&gt;0;AM332;'_Настройки'!$B$9)-AP332-AC332</f>
        <v/>
      </c>
      <c r="AR332" s="3">
        <f>IF(L332&gt;0;AQ332/L332;"")</f>
        <v/>
      </c>
      <c r="AS332" s="3">
        <f>IF(K332&gt;0;AQ332/K332;"")</f>
        <v/>
      </c>
      <c r="AT332" s="2">
        <f>L332-K332-AL332-AE332-IF(AM332&gt;0;AM332;'_Настройки'!$B$9)-AP332-AC332</f>
        <v/>
      </c>
      <c r="AU332" s="3">
        <f>IF(L332&gt;0;AT332/L332;"")</f>
        <v/>
      </c>
      <c r="AV332" s="3">
        <f>IF(K332&gt;0;AT332/K332;"")</f>
        <v/>
      </c>
    </row>
    <row r="333">
      <c r="A333">
        <f>ROW()-1</f>
        <v/>
      </c>
      <c r="K333" s="2">
        <f>IFERROR(INDEX('_Цены_закупки'!$B:$B;MATCH(C333;'_Цены_закупки'!$A:$A;0));"")</f>
        <v/>
      </c>
      <c r="L333" s="2" t="n"/>
      <c r="M333" s="2" t="n"/>
      <c r="N333" s="3">
        <f>IF(AND(M333&gt;0;L333&gt;0);1-L333/M333;"")</f>
        <v/>
      </c>
      <c r="O333" s="2">
        <f>IF(OR(Q333="";K333=0);"";(K333+IF(AM333&gt;0;AM333;'_Настройки'!$B$9)+AP333+AC333+Q333*K333)/(1-AH333-AD333))</f>
        <v/>
      </c>
      <c r="P333" s="2">
        <f>IF(O333="";"";O333-K333-O333*AH333-O333*AD333-IF(AM333&gt;0;AM333;'_Настройки'!$B$9)-AP333-AC333)</f>
        <v/>
      </c>
      <c r="Q333" s="3">
        <f>IF(AND(O333&gt;0;K333&gt;0);P333/K333;"")</f>
        <v/>
      </c>
      <c r="R333" s="2">
        <f>IF(O333="";"";O333-K333-O333*AK333-O333*AD333-IF(AM333&gt;0;AM333;'_Настройки'!$B$9)-AP333-AC333)</f>
        <v/>
      </c>
      <c r="S333" s="3">
        <f>IF(AND(O333&gt;0;K333&gt;0);R333/K333;"")</f>
        <v/>
      </c>
      <c r="T333" s="2" t="n"/>
      <c r="U333" s="3">
        <f>IF(AND(L333&gt;0;T333&gt;0);1-T333/L333;"")</f>
        <v/>
      </c>
      <c r="V333" s="3">
        <f>'_Настройки'!$B$4</f>
        <v/>
      </c>
      <c r="Z333" s="4">
        <f>IF(AND(W333&gt;0;X333&gt;0;Y333&gt;0);W333*X333*Y333/1000;"")</f>
        <v/>
      </c>
      <c r="AB333" s="2">
        <f>('_Настройки'!$B$6+MAX(0;Z333-1)*'_Настройки'!$B$7)*IF(AA333&gt;0;AA333;'_Настройки'!$B$10)</f>
        <v/>
      </c>
      <c r="AC333" s="2">
        <f>AB333*(1+'_Настройки'!$B$8)</f>
        <v/>
      </c>
      <c r="AD333" s="3">
        <f>'_Настройки'!$B$2</f>
        <v/>
      </c>
      <c r="AE333" s="2">
        <f>L333*AD333</f>
        <v/>
      </c>
      <c r="AF333" s="3">
        <f>'_Настройки'!$B$3</f>
        <v/>
      </c>
      <c r="AG333" s="3">
        <f>IFERROR(INDEX('_Комиссия_ВБ'!$B:$B;MATCH(C333;'_Комиссия_ВБ'!$A:$A;0));0,245)</f>
        <v/>
      </c>
      <c r="AH333" s="3">
        <f>AG333+AF333</f>
        <v/>
      </c>
      <c r="AI333" s="2">
        <f>L333*AH333</f>
        <v/>
      </c>
      <c r="AJ333" s="3">
        <f>IFERROR(INDEX('_Комиссия_ВБ'!$C:$C;MATCH(C333;'_Комиссия_ВБ'!$A:$A;0));0,28)</f>
        <v/>
      </c>
      <c r="AK333" s="3">
        <f>AJ333+AF333</f>
        <v/>
      </c>
      <c r="AL333" s="2">
        <f>L333*AK333</f>
        <v/>
      </c>
      <c r="AM333" s="2" t="n"/>
      <c r="AO333" s="3">
        <f>'_Настройки'!$B$5</f>
        <v/>
      </c>
      <c r="AP333" s="2">
        <f>IF(K333&gt;0;K333*AO333;0)</f>
        <v/>
      </c>
      <c r="AQ333" s="2">
        <f>L333-K333-AI333-AE333-IF(AM333&gt;0;AM333;'_Настройки'!$B$9)-AP333-AC333</f>
        <v/>
      </c>
      <c r="AR333" s="3">
        <f>IF(L333&gt;0;AQ333/L333;"")</f>
        <v/>
      </c>
      <c r="AS333" s="3">
        <f>IF(K333&gt;0;AQ333/K333;"")</f>
        <v/>
      </c>
      <c r="AT333" s="2">
        <f>L333-K333-AL333-AE333-IF(AM333&gt;0;AM333;'_Настройки'!$B$9)-AP333-AC333</f>
        <v/>
      </c>
      <c r="AU333" s="3">
        <f>IF(L333&gt;0;AT333/L333;"")</f>
        <v/>
      </c>
      <c r="AV333" s="3">
        <f>IF(K333&gt;0;AT333/K333;"")</f>
        <v/>
      </c>
    </row>
    <row r="334">
      <c r="A334">
        <f>ROW()-1</f>
        <v/>
      </c>
      <c r="K334" s="2">
        <f>IFERROR(INDEX('_Цены_закупки'!$B:$B;MATCH(C334;'_Цены_закупки'!$A:$A;0));"")</f>
        <v/>
      </c>
      <c r="L334" s="2" t="n"/>
      <c r="M334" s="2" t="n"/>
      <c r="N334" s="3">
        <f>IF(AND(M334&gt;0;L334&gt;0);1-L334/M334;"")</f>
        <v/>
      </c>
      <c r="O334" s="2">
        <f>IF(OR(Q334="";K334=0);"";(K334+IF(AM334&gt;0;AM334;'_Настройки'!$B$9)+AP334+AC334+Q334*K334)/(1-AH334-AD334))</f>
        <v/>
      </c>
      <c r="P334" s="2">
        <f>IF(O334="";"";O334-K334-O334*AH334-O334*AD334-IF(AM334&gt;0;AM334;'_Настройки'!$B$9)-AP334-AC334)</f>
        <v/>
      </c>
      <c r="Q334" s="3">
        <f>IF(AND(O334&gt;0;K334&gt;0);P334/K334;"")</f>
        <v/>
      </c>
      <c r="R334" s="2">
        <f>IF(O334="";"";O334-K334-O334*AK334-O334*AD334-IF(AM334&gt;0;AM334;'_Настройки'!$B$9)-AP334-AC334)</f>
        <v/>
      </c>
      <c r="S334" s="3">
        <f>IF(AND(O334&gt;0;K334&gt;0);R334/K334;"")</f>
        <v/>
      </c>
      <c r="T334" s="2" t="n"/>
      <c r="U334" s="3">
        <f>IF(AND(L334&gt;0;T334&gt;0);1-T334/L334;"")</f>
        <v/>
      </c>
      <c r="V334" s="3">
        <f>'_Настройки'!$B$4</f>
        <v/>
      </c>
      <c r="Z334" s="4">
        <f>IF(AND(W334&gt;0;X334&gt;0;Y334&gt;0);W334*X334*Y334/1000;"")</f>
        <v/>
      </c>
      <c r="AB334" s="2">
        <f>('_Настройки'!$B$6+MAX(0;Z334-1)*'_Настройки'!$B$7)*IF(AA334&gt;0;AA334;'_Настройки'!$B$10)</f>
        <v/>
      </c>
      <c r="AC334" s="2">
        <f>AB334*(1+'_Настройки'!$B$8)</f>
        <v/>
      </c>
      <c r="AD334" s="3">
        <f>'_Настройки'!$B$2</f>
        <v/>
      </c>
      <c r="AE334" s="2">
        <f>L334*AD334</f>
        <v/>
      </c>
      <c r="AF334" s="3">
        <f>'_Настройки'!$B$3</f>
        <v/>
      </c>
      <c r="AG334" s="3">
        <f>IFERROR(INDEX('_Комиссия_ВБ'!$B:$B;MATCH(C334;'_Комиссия_ВБ'!$A:$A;0));0,245)</f>
        <v/>
      </c>
      <c r="AH334" s="3">
        <f>AG334+AF334</f>
        <v/>
      </c>
      <c r="AI334" s="2">
        <f>L334*AH334</f>
        <v/>
      </c>
      <c r="AJ334" s="3">
        <f>IFERROR(INDEX('_Комиссия_ВБ'!$C:$C;MATCH(C334;'_Комиссия_ВБ'!$A:$A;0));0,28)</f>
        <v/>
      </c>
      <c r="AK334" s="3">
        <f>AJ334+AF334</f>
        <v/>
      </c>
      <c r="AL334" s="2">
        <f>L334*AK334</f>
        <v/>
      </c>
      <c r="AM334" s="2" t="n"/>
      <c r="AO334" s="3">
        <f>'_Настройки'!$B$5</f>
        <v/>
      </c>
      <c r="AP334" s="2">
        <f>IF(K334&gt;0;K334*AO334;0)</f>
        <v/>
      </c>
      <c r="AQ334" s="2">
        <f>L334-K334-AI334-AE334-IF(AM334&gt;0;AM334;'_Настройки'!$B$9)-AP334-AC334</f>
        <v/>
      </c>
      <c r="AR334" s="3">
        <f>IF(L334&gt;0;AQ334/L334;"")</f>
        <v/>
      </c>
      <c r="AS334" s="3">
        <f>IF(K334&gt;0;AQ334/K334;"")</f>
        <v/>
      </c>
      <c r="AT334" s="2">
        <f>L334-K334-AL334-AE334-IF(AM334&gt;0;AM334;'_Настройки'!$B$9)-AP334-AC334</f>
        <v/>
      </c>
      <c r="AU334" s="3">
        <f>IF(L334&gt;0;AT334/L334;"")</f>
        <v/>
      </c>
      <c r="AV334" s="3">
        <f>IF(K334&gt;0;AT334/K334;"")</f>
        <v/>
      </c>
    </row>
    <row r="335">
      <c r="A335">
        <f>ROW()-1</f>
        <v/>
      </c>
      <c r="K335" s="2">
        <f>IFERROR(INDEX('_Цены_закупки'!$B:$B;MATCH(C335;'_Цены_закупки'!$A:$A;0));"")</f>
        <v/>
      </c>
      <c r="L335" s="2" t="n"/>
      <c r="M335" s="2" t="n"/>
      <c r="N335" s="3">
        <f>IF(AND(M335&gt;0;L335&gt;0);1-L335/M335;"")</f>
        <v/>
      </c>
      <c r="O335" s="2">
        <f>IF(OR(Q335="";K335=0);"";(K335+IF(AM335&gt;0;AM335;'_Настройки'!$B$9)+AP335+AC335+Q335*K335)/(1-AH335-AD335))</f>
        <v/>
      </c>
      <c r="P335" s="2">
        <f>IF(O335="";"";O335-K335-O335*AH335-O335*AD335-IF(AM335&gt;0;AM335;'_Настройки'!$B$9)-AP335-AC335)</f>
        <v/>
      </c>
      <c r="Q335" s="3">
        <f>IF(AND(O335&gt;0;K335&gt;0);P335/K335;"")</f>
        <v/>
      </c>
      <c r="R335" s="2">
        <f>IF(O335="";"";O335-K335-O335*AK335-O335*AD335-IF(AM335&gt;0;AM335;'_Настройки'!$B$9)-AP335-AC335)</f>
        <v/>
      </c>
      <c r="S335" s="3">
        <f>IF(AND(O335&gt;0;K335&gt;0);R335/K335;"")</f>
        <v/>
      </c>
      <c r="T335" s="2" t="n"/>
      <c r="U335" s="3">
        <f>IF(AND(L335&gt;0;T335&gt;0);1-T335/L335;"")</f>
        <v/>
      </c>
      <c r="V335" s="3">
        <f>'_Настройки'!$B$4</f>
        <v/>
      </c>
      <c r="Z335" s="4">
        <f>IF(AND(W335&gt;0;X335&gt;0;Y335&gt;0);W335*X335*Y335/1000;"")</f>
        <v/>
      </c>
      <c r="AB335" s="2">
        <f>('_Настройки'!$B$6+MAX(0;Z335-1)*'_Настройки'!$B$7)*IF(AA335&gt;0;AA335;'_Настройки'!$B$10)</f>
        <v/>
      </c>
      <c r="AC335" s="2">
        <f>AB335*(1+'_Настройки'!$B$8)</f>
        <v/>
      </c>
      <c r="AD335" s="3">
        <f>'_Настройки'!$B$2</f>
        <v/>
      </c>
      <c r="AE335" s="2">
        <f>L335*AD335</f>
        <v/>
      </c>
      <c r="AF335" s="3">
        <f>'_Настройки'!$B$3</f>
        <v/>
      </c>
      <c r="AG335" s="3">
        <f>IFERROR(INDEX('_Комиссия_ВБ'!$B:$B;MATCH(C335;'_Комиссия_ВБ'!$A:$A;0));0,245)</f>
        <v/>
      </c>
      <c r="AH335" s="3">
        <f>AG335+AF335</f>
        <v/>
      </c>
      <c r="AI335" s="2">
        <f>L335*AH335</f>
        <v/>
      </c>
      <c r="AJ335" s="3">
        <f>IFERROR(INDEX('_Комиссия_ВБ'!$C:$C;MATCH(C335;'_Комиссия_ВБ'!$A:$A;0));0,28)</f>
        <v/>
      </c>
      <c r="AK335" s="3">
        <f>AJ335+AF335</f>
        <v/>
      </c>
      <c r="AL335" s="2">
        <f>L335*AK335</f>
        <v/>
      </c>
      <c r="AM335" s="2" t="n"/>
      <c r="AO335" s="3">
        <f>'_Настройки'!$B$5</f>
        <v/>
      </c>
      <c r="AP335" s="2">
        <f>IF(K335&gt;0;K335*AO335;0)</f>
        <v/>
      </c>
      <c r="AQ335" s="2">
        <f>L335-K335-AI335-AE335-IF(AM335&gt;0;AM335;'_Настройки'!$B$9)-AP335-AC335</f>
        <v/>
      </c>
      <c r="AR335" s="3">
        <f>IF(L335&gt;0;AQ335/L335;"")</f>
        <v/>
      </c>
      <c r="AS335" s="3">
        <f>IF(K335&gt;0;AQ335/K335;"")</f>
        <v/>
      </c>
      <c r="AT335" s="2">
        <f>L335-K335-AL335-AE335-IF(AM335&gt;0;AM335;'_Настройки'!$B$9)-AP335-AC335</f>
        <v/>
      </c>
      <c r="AU335" s="3">
        <f>IF(L335&gt;0;AT335/L335;"")</f>
        <v/>
      </c>
      <c r="AV335" s="3">
        <f>IF(K335&gt;0;AT335/K335;"")</f>
        <v/>
      </c>
    </row>
    <row r="336">
      <c r="A336">
        <f>ROW()-1</f>
        <v/>
      </c>
      <c r="K336" s="2">
        <f>IFERROR(INDEX('_Цены_закупки'!$B:$B;MATCH(C336;'_Цены_закупки'!$A:$A;0));"")</f>
        <v/>
      </c>
      <c r="L336" s="2" t="n"/>
      <c r="M336" s="2" t="n"/>
      <c r="N336" s="3">
        <f>IF(AND(M336&gt;0;L336&gt;0);1-L336/M336;"")</f>
        <v/>
      </c>
      <c r="O336" s="2">
        <f>IF(OR(Q336="";K336=0);"";(K336+IF(AM336&gt;0;AM336;'_Настройки'!$B$9)+AP336+AC336+Q336*K336)/(1-AH336-AD336))</f>
        <v/>
      </c>
      <c r="P336" s="2">
        <f>IF(O336="";"";O336-K336-O336*AH336-O336*AD336-IF(AM336&gt;0;AM336;'_Настройки'!$B$9)-AP336-AC336)</f>
        <v/>
      </c>
      <c r="Q336" s="3">
        <f>IF(AND(O336&gt;0;K336&gt;0);P336/K336;"")</f>
        <v/>
      </c>
      <c r="R336" s="2">
        <f>IF(O336="";"";O336-K336-O336*AK336-O336*AD336-IF(AM336&gt;0;AM336;'_Настройки'!$B$9)-AP336-AC336)</f>
        <v/>
      </c>
      <c r="S336" s="3">
        <f>IF(AND(O336&gt;0;K336&gt;0);R336/K336;"")</f>
        <v/>
      </c>
      <c r="T336" s="2" t="n"/>
      <c r="U336" s="3">
        <f>IF(AND(L336&gt;0;T336&gt;0);1-T336/L336;"")</f>
        <v/>
      </c>
      <c r="V336" s="3">
        <f>'_Настройки'!$B$4</f>
        <v/>
      </c>
      <c r="Z336" s="4">
        <f>IF(AND(W336&gt;0;X336&gt;0;Y336&gt;0);W336*X336*Y336/1000;"")</f>
        <v/>
      </c>
      <c r="AB336" s="2">
        <f>('_Настройки'!$B$6+MAX(0;Z336-1)*'_Настройки'!$B$7)*IF(AA336&gt;0;AA336;'_Настройки'!$B$10)</f>
        <v/>
      </c>
      <c r="AC336" s="2">
        <f>AB336*(1+'_Настройки'!$B$8)</f>
        <v/>
      </c>
      <c r="AD336" s="3">
        <f>'_Настройки'!$B$2</f>
        <v/>
      </c>
      <c r="AE336" s="2">
        <f>L336*AD336</f>
        <v/>
      </c>
      <c r="AF336" s="3">
        <f>'_Настройки'!$B$3</f>
        <v/>
      </c>
      <c r="AG336" s="3">
        <f>IFERROR(INDEX('_Комиссия_ВБ'!$B:$B;MATCH(C336;'_Комиссия_ВБ'!$A:$A;0));0,245)</f>
        <v/>
      </c>
      <c r="AH336" s="3">
        <f>AG336+AF336</f>
        <v/>
      </c>
      <c r="AI336" s="2">
        <f>L336*AH336</f>
        <v/>
      </c>
      <c r="AJ336" s="3">
        <f>IFERROR(INDEX('_Комиссия_ВБ'!$C:$C;MATCH(C336;'_Комиссия_ВБ'!$A:$A;0));0,28)</f>
        <v/>
      </c>
      <c r="AK336" s="3">
        <f>AJ336+AF336</f>
        <v/>
      </c>
      <c r="AL336" s="2">
        <f>L336*AK336</f>
        <v/>
      </c>
      <c r="AM336" s="2" t="n"/>
      <c r="AO336" s="3">
        <f>'_Настройки'!$B$5</f>
        <v/>
      </c>
      <c r="AP336" s="2">
        <f>IF(K336&gt;0;K336*AO336;0)</f>
        <v/>
      </c>
      <c r="AQ336" s="2">
        <f>L336-K336-AI336-AE336-IF(AM336&gt;0;AM336;'_Настройки'!$B$9)-AP336-AC336</f>
        <v/>
      </c>
      <c r="AR336" s="3">
        <f>IF(L336&gt;0;AQ336/L336;"")</f>
        <v/>
      </c>
      <c r="AS336" s="3">
        <f>IF(K336&gt;0;AQ336/K336;"")</f>
        <v/>
      </c>
      <c r="AT336" s="2">
        <f>L336-K336-AL336-AE336-IF(AM336&gt;0;AM336;'_Настройки'!$B$9)-AP336-AC336</f>
        <v/>
      </c>
      <c r="AU336" s="3">
        <f>IF(L336&gt;0;AT336/L336;"")</f>
        <v/>
      </c>
      <c r="AV336" s="3">
        <f>IF(K336&gt;0;AT336/K336;"")</f>
        <v/>
      </c>
    </row>
    <row r="337">
      <c r="A337">
        <f>ROW()-1</f>
        <v/>
      </c>
      <c r="K337" s="2">
        <f>IFERROR(INDEX('_Цены_закупки'!$B:$B;MATCH(C337;'_Цены_закупки'!$A:$A;0));"")</f>
        <v/>
      </c>
      <c r="L337" s="2" t="n"/>
      <c r="M337" s="2" t="n"/>
      <c r="N337" s="3">
        <f>IF(AND(M337&gt;0;L337&gt;0);1-L337/M337;"")</f>
        <v/>
      </c>
      <c r="O337" s="2">
        <f>IF(OR(Q337="";K337=0);"";(K337+IF(AM337&gt;0;AM337;'_Настройки'!$B$9)+AP337+AC337+Q337*K337)/(1-AH337-AD337))</f>
        <v/>
      </c>
      <c r="P337" s="2">
        <f>IF(O337="";"";O337-K337-O337*AH337-O337*AD337-IF(AM337&gt;0;AM337;'_Настройки'!$B$9)-AP337-AC337)</f>
        <v/>
      </c>
      <c r="Q337" s="3">
        <f>IF(AND(O337&gt;0;K337&gt;0);P337/K337;"")</f>
        <v/>
      </c>
      <c r="R337" s="2">
        <f>IF(O337="";"";O337-K337-O337*AK337-O337*AD337-IF(AM337&gt;0;AM337;'_Настройки'!$B$9)-AP337-AC337)</f>
        <v/>
      </c>
      <c r="S337" s="3">
        <f>IF(AND(O337&gt;0;K337&gt;0);R337/K337;"")</f>
        <v/>
      </c>
      <c r="T337" s="2" t="n"/>
      <c r="U337" s="3">
        <f>IF(AND(L337&gt;0;T337&gt;0);1-T337/L337;"")</f>
        <v/>
      </c>
      <c r="V337" s="3">
        <f>'_Настройки'!$B$4</f>
        <v/>
      </c>
      <c r="Z337" s="4">
        <f>IF(AND(W337&gt;0;X337&gt;0;Y337&gt;0);W337*X337*Y337/1000;"")</f>
        <v/>
      </c>
      <c r="AB337" s="2">
        <f>('_Настройки'!$B$6+MAX(0;Z337-1)*'_Настройки'!$B$7)*IF(AA337&gt;0;AA337;'_Настройки'!$B$10)</f>
        <v/>
      </c>
      <c r="AC337" s="2">
        <f>AB337*(1+'_Настройки'!$B$8)</f>
        <v/>
      </c>
      <c r="AD337" s="3">
        <f>'_Настройки'!$B$2</f>
        <v/>
      </c>
      <c r="AE337" s="2">
        <f>L337*AD337</f>
        <v/>
      </c>
      <c r="AF337" s="3">
        <f>'_Настройки'!$B$3</f>
        <v/>
      </c>
      <c r="AG337" s="3">
        <f>IFERROR(INDEX('_Комиссия_ВБ'!$B:$B;MATCH(C337;'_Комиссия_ВБ'!$A:$A;0));0,245)</f>
        <v/>
      </c>
      <c r="AH337" s="3">
        <f>AG337+AF337</f>
        <v/>
      </c>
      <c r="AI337" s="2">
        <f>L337*AH337</f>
        <v/>
      </c>
      <c r="AJ337" s="3">
        <f>IFERROR(INDEX('_Комиссия_ВБ'!$C:$C;MATCH(C337;'_Комиссия_ВБ'!$A:$A;0));0,28)</f>
        <v/>
      </c>
      <c r="AK337" s="3">
        <f>AJ337+AF337</f>
        <v/>
      </c>
      <c r="AL337" s="2">
        <f>L337*AK337</f>
        <v/>
      </c>
      <c r="AM337" s="2" t="n"/>
      <c r="AO337" s="3">
        <f>'_Настройки'!$B$5</f>
        <v/>
      </c>
      <c r="AP337" s="2">
        <f>IF(K337&gt;0;K337*AO337;0)</f>
        <v/>
      </c>
      <c r="AQ337" s="2">
        <f>L337-K337-AI337-AE337-IF(AM337&gt;0;AM337;'_Настройки'!$B$9)-AP337-AC337</f>
        <v/>
      </c>
      <c r="AR337" s="3">
        <f>IF(L337&gt;0;AQ337/L337;"")</f>
        <v/>
      </c>
      <c r="AS337" s="3">
        <f>IF(K337&gt;0;AQ337/K337;"")</f>
        <v/>
      </c>
      <c r="AT337" s="2">
        <f>L337-K337-AL337-AE337-IF(AM337&gt;0;AM337;'_Настройки'!$B$9)-AP337-AC337</f>
        <v/>
      </c>
      <c r="AU337" s="3">
        <f>IF(L337&gt;0;AT337/L337;"")</f>
        <v/>
      </c>
      <c r="AV337" s="3">
        <f>IF(K337&gt;0;AT337/K337;"")</f>
        <v/>
      </c>
    </row>
    <row r="338">
      <c r="A338">
        <f>ROW()-1</f>
        <v/>
      </c>
      <c r="K338" s="2">
        <f>IFERROR(INDEX('_Цены_закупки'!$B:$B;MATCH(C338;'_Цены_закупки'!$A:$A;0));"")</f>
        <v/>
      </c>
      <c r="L338" s="2" t="n"/>
      <c r="M338" s="2" t="n"/>
      <c r="N338" s="3">
        <f>IF(AND(M338&gt;0;L338&gt;0);1-L338/M338;"")</f>
        <v/>
      </c>
      <c r="O338" s="2">
        <f>IF(OR(Q338="";K338=0);"";(K338+IF(AM338&gt;0;AM338;'_Настройки'!$B$9)+AP338+AC338+Q338*K338)/(1-AH338-AD338))</f>
        <v/>
      </c>
      <c r="P338" s="2">
        <f>IF(O338="";"";O338-K338-O338*AH338-O338*AD338-IF(AM338&gt;0;AM338;'_Настройки'!$B$9)-AP338-AC338)</f>
        <v/>
      </c>
      <c r="Q338" s="3">
        <f>IF(AND(O338&gt;0;K338&gt;0);P338/K338;"")</f>
        <v/>
      </c>
      <c r="R338" s="2">
        <f>IF(O338="";"";O338-K338-O338*AK338-O338*AD338-IF(AM338&gt;0;AM338;'_Настройки'!$B$9)-AP338-AC338)</f>
        <v/>
      </c>
      <c r="S338" s="3">
        <f>IF(AND(O338&gt;0;K338&gt;0);R338/K338;"")</f>
        <v/>
      </c>
      <c r="T338" s="2" t="n"/>
      <c r="U338" s="3">
        <f>IF(AND(L338&gt;0;T338&gt;0);1-T338/L338;"")</f>
        <v/>
      </c>
      <c r="V338" s="3">
        <f>'_Настройки'!$B$4</f>
        <v/>
      </c>
      <c r="Z338" s="4">
        <f>IF(AND(W338&gt;0;X338&gt;0;Y338&gt;0);W338*X338*Y338/1000;"")</f>
        <v/>
      </c>
      <c r="AB338" s="2">
        <f>('_Настройки'!$B$6+MAX(0;Z338-1)*'_Настройки'!$B$7)*IF(AA338&gt;0;AA338;'_Настройки'!$B$10)</f>
        <v/>
      </c>
      <c r="AC338" s="2">
        <f>AB338*(1+'_Настройки'!$B$8)</f>
        <v/>
      </c>
      <c r="AD338" s="3">
        <f>'_Настройки'!$B$2</f>
        <v/>
      </c>
      <c r="AE338" s="2">
        <f>L338*AD338</f>
        <v/>
      </c>
      <c r="AF338" s="3">
        <f>'_Настройки'!$B$3</f>
        <v/>
      </c>
      <c r="AG338" s="3">
        <f>IFERROR(INDEX('_Комиссия_ВБ'!$B:$B;MATCH(C338;'_Комиссия_ВБ'!$A:$A;0));0,245)</f>
        <v/>
      </c>
      <c r="AH338" s="3">
        <f>AG338+AF338</f>
        <v/>
      </c>
      <c r="AI338" s="2">
        <f>L338*AH338</f>
        <v/>
      </c>
      <c r="AJ338" s="3">
        <f>IFERROR(INDEX('_Комиссия_ВБ'!$C:$C;MATCH(C338;'_Комиссия_ВБ'!$A:$A;0));0,28)</f>
        <v/>
      </c>
      <c r="AK338" s="3">
        <f>AJ338+AF338</f>
        <v/>
      </c>
      <c r="AL338" s="2">
        <f>L338*AK338</f>
        <v/>
      </c>
      <c r="AM338" s="2" t="n"/>
      <c r="AO338" s="3">
        <f>'_Настройки'!$B$5</f>
        <v/>
      </c>
      <c r="AP338" s="2">
        <f>IF(K338&gt;0;K338*AO338;0)</f>
        <v/>
      </c>
      <c r="AQ338" s="2">
        <f>L338-K338-AI338-AE338-IF(AM338&gt;0;AM338;'_Настройки'!$B$9)-AP338-AC338</f>
        <v/>
      </c>
      <c r="AR338" s="3">
        <f>IF(L338&gt;0;AQ338/L338;"")</f>
        <v/>
      </c>
      <c r="AS338" s="3">
        <f>IF(K338&gt;0;AQ338/K338;"")</f>
        <v/>
      </c>
      <c r="AT338" s="2">
        <f>L338-K338-AL338-AE338-IF(AM338&gt;0;AM338;'_Настройки'!$B$9)-AP338-AC338</f>
        <v/>
      </c>
      <c r="AU338" s="3">
        <f>IF(L338&gt;0;AT338/L338;"")</f>
        <v/>
      </c>
      <c r="AV338" s="3">
        <f>IF(K338&gt;0;AT338/K338;"")</f>
        <v/>
      </c>
    </row>
    <row r="339">
      <c r="A339">
        <f>ROW()-1</f>
        <v/>
      </c>
      <c r="K339" s="2">
        <f>IFERROR(INDEX('_Цены_закупки'!$B:$B;MATCH(C339;'_Цены_закупки'!$A:$A;0));"")</f>
        <v/>
      </c>
      <c r="L339" s="2" t="n"/>
      <c r="M339" s="2" t="n"/>
      <c r="N339" s="3">
        <f>IF(AND(M339&gt;0;L339&gt;0);1-L339/M339;"")</f>
        <v/>
      </c>
      <c r="O339" s="2">
        <f>IF(OR(Q339="";K339=0);"";(K339+IF(AM339&gt;0;AM339;'_Настройки'!$B$9)+AP339+AC339+Q339*K339)/(1-AH339-AD339))</f>
        <v/>
      </c>
      <c r="P339" s="2">
        <f>IF(O339="";"";O339-K339-O339*AH339-O339*AD339-IF(AM339&gt;0;AM339;'_Настройки'!$B$9)-AP339-AC339)</f>
        <v/>
      </c>
      <c r="Q339" s="3">
        <f>IF(AND(O339&gt;0;K339&gt;0);P339/K339;"")</f>
        <v/>
      </c>
      <c r="R339" s="2">
        <f>IF(O339="";"";O339-K339-O339*AK339-O339*AD339-IF(AM339&gt;0;AM339;'_Настройки'!$B$9)-AP339-AC339)</f>
        <v/>
      </c>
      <c r="S339" s="3">
        <f>IF(AND(O339&gt;0;K339&gt;0);R339/K339;"")</f>
        <v/>
      </c>
      <c r="T339" s="2" t="n"/>
      <c r="U339" s="3">
        <f>IF(AND(L339&gt;0;T339&gt;0);1-T339/L339;"")</f>
        <v/>
      </c>
      <c r="V339" s="3">
        <f>'_Настройки'!$B$4</f>
        <v/>
      </c>
      <c r="Z339" s="4">
        <f>IF(AND(W339&gt;0;X339&gt;0;Y339&gt;0);W339*X339*Y339/1000;"")</f>
        <v/>
      </c>
      <c r="AB339" s="2">
        <f>('_Настройки'!$B$6+MAX(0;Z339-1)*'_Настройки'!$B$7)*IF(AA339&gt;0;AA339;'_Настройки'!$B$10)</f>
        <v/>
      </c>
      <c r="AC339" s="2">
        <f>AB339*(1+'_Настройки'!$B$8)</f>
        <v/>
      </c>
      <c r="AD339" s="3">
        <f>'_Настройки'!$B$2</f>
        <v/>
      </c>
      <c r="AE339" s="2">
        <f>L339*AD339</f>
        <v/>
      </c>
      <c r="AF339" s="3">
        <f>'_Настройки'!$B$3</f>
        <v/>
      </c>
      <c r="AG339" s="3">
        <f>IFERROR(INDEX('_Комиссия_ВБ'!$B:$B;MATCH(C339;'_Комиссия_ВБ'!$A:$A;0));0,245)</f>
        <v/>
      </c>
      <c r="AH339" s="3">
        <f>AG339+AF339</f>
        <v/>
      </c>
      <c r="AI339" s="2">
        <f>L339*AH339</f>
        <v/>
      </c>
      <c r="AJ339" s="3">
        <f>IFERROR(INDEX('_Комиссия_ВБ'!$C:$C;MATCH(C339;'_Комиссия_ВБ'!$A:$A;0));0,28)</f>
        <v/>
      </c>
      <c r="AK339" s="3">
        <f>AJ339+AF339</f>
        <v/>
      </c>
      <c r="AL339" s="2">
        <f>L339*AK339</f>
        <v/>
      </c>
      <c r="AM339" s="2" t="n"/>
      <c r="AO339" s="3">
        <f>'_Настройки'!$B$5</f>
        <v/>
      </c>
      <c r="AP339" s="2">
        <f>IF(K339&gt;0;K339*AO339;0)</f>
        <v/>
      </c>
      <c r="AQ339" s="2">
        <f>L339-K339-AI339-AE339-IF(AM339&gt;0;AM339;'_Настройки'!$B$9)-AP339-AC339</f>
        <v/>
      </c>
      <c r="AR339" s="3">
        <f>IF(L339&gt;0;AQ339/L339;"")</f>
        <v/>
      </c>
      <c r="AS339" s="3">
        <f>IF(K339&gt;0;AQ339/K339;"")</f>
        <v/>
      </c>
      <c r="AT339" s="2">
        <f>L339-K339-AL339-AE339-IF(AM339&gt;0;AM339;'_Настройки'!$B$9)-AP339-AC339</f>
        <v/>
      </c>
      <c r="AU339" s="3">
        <f>IF(L339&gt;0;AT339/L339;"")</f>
        <v/>
      </c>
      <c r="AV339" s="3">
        <f>IF(K339&gt;0;AT339/K339;"")</f>
        <v/>
      </c>
    </row>
    <row r="340">
      <c r="A340">
        <f>ROW()-1</f>
        <v/>
      </c>
      <c r="K340" s="2">
        <f>IFERROR(INDEX('_Цены_закупки'!$B:$B;MATCH(C340;'_Цены_закупки'!$A:$A;0));"")</f>
        <v/>
      </c>
      <c r="L340" s="2" t="n"/>
      <c r="M340" s="2" t="n"/>
      <c r="N340" s="3">
        <f>IF(AND(M340&gt;0;L340&gt;0);1-L340/M340;"")</f>
        <v/>
      </c>
      <c r="O340" s="2">
        <f>IF(OR(Q340="";K340=0);"";(K340+IF(AM340&gt;0;AM340;'_Настройки'!$B$9)+AP340+AC340+Q340*K340)/(1-AH340-AD340))</f>
        <v/>
      </c>
      <c r="P340" s="2">
        <f>IF(O340="";"";O340-K340-O340*AH340-O340*AD340-IF(AM340&gt;0;AM340;'_Настройки'!$B$9)-AP340-AC340)</f>
        <v/>
      </c>
      <c r="Q340" s="3">
        <f>IF(AND(O340&gt;0;K340&gt;0);P340/K340;"")</f>
        <v/>
      </c>
      <c r="R340" s="2">
        <f>IF(O340="";"";O340-K340-O340*AK340-O340*AD340-IF(AM340&gt;0;AM340;'_Настройки'!$B$9)-AP340-AC340)</f>
        <v/>
      </c>
      <c r="S340" s="3">
        <f>IF(AND(O340&gt;0;K340&gt;0);R340/K340;"")</f>
        <v/>
      </c>
      <c r="T340" s="2" t="n"/>
      <c r="U340" s="3">
        <f>IF(AND(L340&gt;0;T340&gt;0);1-T340/L340;"")</f>
        <v/>
      </c>
      <c r="V340" s="3">
        <f>'_Настройки'!$B$4</f>
        <v/>
      </c>
      <c r="Z340" s="4">
        <f>IF(AND(W340&gt;0;X340&gt;0;Y340&gt;0);W340*X340*Y340/1000;"")</f>
        <v/>
      </c>
      <c r="AB340" s="2">
        <f>('_Настройки'!$B$6+MAX(0;Z340-1)*'_Настройки'!$B$7)*IF(AA340&gt;0;AA340;'_Настройки'!$B$10)</f>
        <v/>
      </c>
      <c r="AC340" s="2">
        <f>AB340*(1+'_Настройки'!$B$8)</f>
        <v/>
      </c>
      <c r="AD340" s="3">
        <f>'_Настройки'!$B$2</f>
        <v/>
      </c>
      <c r="AE340" s="2">
        <f>L340*AD340</f>
        <v/>
      </c>
      <c r="AF340" s="3">
        <f>'_Настройки'!$B$3</f>
        <v/>
      </c>
      <c r="AG340" s="3">
        <f>IFERROR(INDEX('_Комиссия_ВБ'!$B:$B;MATCH(C340;'_Комиссия_ВБ'!$A:$A;0));0,245)</f>
        <v/>
      </c>
      <c r="AH340" s="3">
        <f>AG340+AF340</f>
        <v/>
      </c>
      <c r="AI340" s="2">
        <f>L340*AH340</f>
        <v/>
      </c>
      <c r="AJ340" s="3">
        <f>IFERROR(INDEX('_Комиссия_ВБ'!$C:$C;MATCH(C340;'_Комиссия_ВБ'!$A:$A;0));0,28)</f>
        <v/>
      </c>
      <c r="AK340" s="3">
        <f>AJ340+AF340</f>
        <v/>
      </c>
      <c r="AL340" s="2">
        <f>L340*AK340</f>
        <v/>
      </c>
      <c r="AM340" s="2" t="n"/>
      <c r="AO340" s="3">
        <f>'_Настройки'!$B$5</f>
        <v/>
      </c>
      <c r="AP340" s="2">
        <f>IF(K340&gt;0;K340*AO340;0)</f>
        <v/>
      </c>
      <c r="AQ340" s="2">
        <f>L340-K340-AI340-AE340-IF(AM340&gt;0;AM340;'_Настройки'!$B$9)-AP340-AC340</f>
        <v/>
      </c>
      <c r="AR340" s="3">
        <f>IF(L340&gt;0;AQ340/L340;"")</f>
        <v/>
      </c>
      <c r="AS340" s="3">
        <f>IF(K340&gt;0;AQ340/K340;"")</f>
        <v/>
      </c>
      <c r="AT340" s="2">
        <f>L340-K340-AL340-AE340-IF(AM340&gt;0;AM340;'_Настройки'!$B$9)-AP340-AC340</f>
        <v/>
      </c>
      <c r="AU340" s="3">
        <f>IF(L340&gt;0;AT340/L340;"")</f>
        <v/>
      </c>
      <c r="AV340" s="3">
        <f>IF(K340&gt;0;AT340/K340;"")</f>
        <v/>
      </c>
    </row>
    <row r="341">
      <c r="A341">
        <f>ROW()-1</f>
        <v/>
      </c>
      <c r="K341" s="2">
        <f>IFERROR(INDEX('_Цены_закупки'!$B:$B;MATCH(C341;'_Цены_закупки'!$A:$A;0));"")</f>
        <v/>
      </c>
      <c r="L341" s="2" t="n"/>
      <c r="M341" s="2" t="n"/>
      <c r="N341" s="3">
        <f>IF(AND(M341&gt;0;L341&gt;0);1-L341/M341;"")</f>
        <v/>
      </c>
      <c r="O341" s="2">
        <f>IF(OR(Q341="";K341=0);"";(K341+IF(AM341&gt;0;AM341;'_Настройки'!$B$9)+AP341+AC341+Q341*K341)/(1-AH341-AD341))</f>
        <v/>
      </c>
      <c r="P341" s="2">
        <f>IF(O341="";"";O341-K341-O341*AH341-O341*AD341-IF(AM341&gt;0;AM341;'_Настройки'!$B$9)-AP341-AC341)</f>
        <v/>
      </c>
      <c r="Q341" s="3">
        <f>IF(AND(O341&gt;0;K341&gt;0);P341/K341;"")</f>
        <v/>
      </c>
      <c r="R341" s="2">
        <f>IF(O341="";"";O341-K341-O341*AK341-O341*AD341-IF(AM341&gt;0;AM341;'_Настройки'!$B$9)-AP341-AC341)</f>
        <v/>
      </c>
      <c r="S341" s="3">
        <f>IF(AND(O341&gt;0;K341&gt;0);R341/K341;"")</f>
        <v/>
      </c>
      <c r="T341" s="2" t="n"/>
      <c r="U341" s="3">
        <f>IF(AND(L341&gt;0;T341&gt;0);1-T341/L341;"")</f>
        <v/>
      </c>
      <c r="V341" s="3">
        <f>'_Настройки'!$B$4</f>
        <v/>
      </c>
      <c r="Z341" s="4">
        <f>IF(AND(W341&gt;0;X341&gt;0;Y341&gt;0);W341*X341*Y341/1000;"")</f>
        <v/>
      </c>
      <c r="AB341" s="2">
        <f>('_Настройки'!$B$6+MAX(0;Z341-1)*'_Настройки'!$B$7)*IF(AA341&gt;0;AA341;'_Настройки'!$B$10)</f>
        <v/>
      </c>
      <c r="AC341" s="2">
        <f>AB341*(1+'_Настройки'!$B$8)</f>
        <v/>
      </c>
      <c r="AD341" s="3">
        <f>'_Настройки'!$B$2</f>
        <v/>
      </c>
      <c r="AE341" s="2">
        <f>L341*AD341</f>
        <v/>
      </c>
      <c r="AF341" s="3">
        <f>'_Настройки'!$B$3</f>
        <v/>
      </c>
      <c r="AG341" s="3">
        <f>IFERROR(INDEX('_Комиссия_ВБ'!$B:$B;MATCH(C341;'_Комиссия_ВБ'!$A:$A;0));0,245)</f>
        <v/>
      </c>
      <c r="AH341" s="3">
        <f>AG341+AF341</f>
        <v/>
      </c>
      <c r="AI341" s="2">
        <f>L341*AH341</f>
        <v/>
      </c>
      <c r="AJ341" s="3">
        <f>IFERROR(INDEX('_Комиссия_ВБ'!$C:$C;MATCH(C341;'_Комиссия_ВБ'!$A:$A;0));0,28)</f>
        <v/>
      </c>
      <c r="AK341" s="3">
        <f>AJ341+AF341</f>
        <v/>
      </c>
      <c r="AL341" s="2">
        <f>L341*AK341</f>
        <v/>
      </c>
      <c r="AM341" s="2" t="n"/>
      <c r="AO341" s="3">
        <f>'_Настройки'!$B$5</f>
        <v/>
      </c>
      <c r="AP341" s="2">
        <f>IF(K341&gt;0;K341*AO341;0)</f>
        <v/>
      </c>
      <c r="AQ341" s="2">
        <f>L341-K341-AI341-AE341-IF(AM341&gt;0;AM341;'_Настройки'!$B$9)-AP341-AC341</f>
        <v/>
      </c>
      <c r="AR341" s="3">
        <f>IF(L341&gt;0;AQ341/L341;"")</f>
        <v/>
      </c>
      <c r="AS341" s="3">
        <f>IF(K341&gt;0;AQ341/K341;"")</f>
        <v/>
      </c>
      <c r="AT341" s="2">
        <f>L341-K341-AL341-AE341-IF(AM341&gt;0;AM341;'_Настройки'!$B$9)-AP341-AC341</f>
        <v/>
      </c>
      <c r="AU341" s="3">
        <f>IF(L341&gt;0;AT341/L341;"")</f>
        <v/>
      </c>
      <c r="AV341" s="3">
        <f>IF(K341&gt;0;AT341/K341;"")</f>
        <v/>
      </c>
    </row>
    <row r="342">
      <c r="A342">
        <f>ROW()-1</f>
        <v/>
      </c>
      <c r="K342" s="2">
        <f>IFERROR(INDEX('_Цены_закупки'!$B:$B;MATCH(C342;'_Цены_закупки'!$A:$A;0));"")</f>
        <v/>
      </c>
      <c r="L342" s="2" t="n"/>
      <c r="M342" s="2" t="n"/>
      <c r="N342" s="3">
        <f>IF(AND(M342&gt;0;L342&gt;0);1-L342/M342;"")</f>
        <v/>
      </c>
      <c r="O342" s="2">
        <f>IF(OR(Q342="";K342=0);"";(K342+IF(AM342&gt;0;AM342;'_Настройки'!$B$9)+AP342+AC342+Q342*K342)/(1-AH342-AD342))</f>
        <v/>
      </c>
      <c r="P342" s="2">
        <f>IF(O342="";"";O342-K342-O342*AH342-O342*AD342-IF(AM342&gt;0;AM342;'_Настройки'!$B$9)-AP342-AC342)</f>
        <v/>
      </c>
      <c r="Q342" s="3">
        <f>IF(AND(O342&gt;0;K342&gt;0);P342/K342;"")</f>
        <v/>
      </c>
      <c r="R342" s="2">
        <f>IF(O342="";"";O342-K342-O342*AK342-O342*AD342-IF(AM342&gt;0;AM342;'_Настройки'!$B$9)-AP342-AC342)</f>
        <v/>
      </c>
      <c r="S342" s="3">
        <f>IF(AND(O342&gt;0;K342&gt;0);R342/K342;"")</f>
        <v/>
      </c>
      <c r="T342" s="2" t="n"/>
      <c r="U342" s="3">
        <f>IF(AND(L342&gt;0;T342&gt;0);1-T342/L342;"")</f>
        <v/>
      </c>
      <c r="V342" s="3">
        <f>'_Настройки'!$B$4</f>
        <v/>
      </c>
      <c r="Z342" s="4">
        <f>IF(AND(W342&gt;0;X342&gt;0;Y342&gt;0);W342*X342*Y342/1000;"")</f>
        <v/>
      </c>
      <c r="AB342" s="2">
        <f>('_Настройки'!$B$6+MAX(0;Z342-1)*'_Настройки'!$B$7)*IF(AA342&gt;0;AA342;'_Настройки'!$B$10)</f>
        <v/>
      </c>
      <c r="AC342" s="2">
        <f>AB342*(1+'_Настройки'!$B$8)</f>
        <v/>
      </c>
      <c r="AD342" s="3">
        <f>'_Настройки'!$B$2</f>
        <v/>
      </c>
      <c r="AE342" s="2">
        <f>L342*AD342</f>
        <v/>
      </c>
      <c r="AF342" s="3">
        <f>'_Настройки'!$B$3</f>
        <v/>
      </c>
      <c r="AG342" s="3">
        <f>IFERROR(INDEX('_Комиссия_ВБ'!$B:$B;MATCH(C342;'_Комиссия_ВБ'!$A:$A;0));0,245)</f>
        <v/>
      </c>
      <c r="AH342" s="3">
        <f>AG342+AF342</f>
        <v/>
      </c>
      <c r="AI342" s="2">
        <f>L342*AH342</f>
        <v/>
      </c>
      <c r="AJ342" s="3">
        <f>IFERROR(INDEX('_Комиссия_ВБ'!$C:$C;MATCH(C342;'_Комиссия_ВБ'!$A:$A;0));0,28)</f>
        <v/>
      </c>
      <c r="AK342" s="3">
        <f>AJ342+AF342</f>
        <v/>
      </c>
      <c r="AL342" s="2">
        <f>L342*AK342</f>
        <v/>
      </c>
      <c r="AM342" s="2" t="n"/>
      <c r="AO342" s="3">
        <f>'_Настройки'!$B$5</f>
        <v/>
      </c>
      <c r="AP342" s="2">
        <f>IF(K342&gt;0;K342*AO342;0)</f>
        <v/>
      </c>
      <c r="AQ342" s="2">
        <f>L342-K342-AI342-AE342-IF(AM342&gt;0;AM342;'_Настройки'!$B$9)-AP342-AC342</f>
        <v/>
      </c>
      <c r="AR342" s="3">
        <f>IF(L342&gt;0;AQ342/L342;"")</f>
        <v/>
      </c>
      <c r="AS342" s="3">
        <f>IF(K342&gt;0;AQ342/K342;"")</f>
        <v/>
      </c>
      <c r="AT342" s="2">
        <f>L342-K342-AL342-AE342-IF(AM342&gt;0;AM342;'_Настройки'!$B$9)-AP342-AC342</f>
        <v/>
      </c>
      <c r="AU342" s="3">
        <f>IF(L342&gt;0;AT342/L342;"")</f>
        <v/>
      </c>
      <c r="AV342" s="3">
        <f>IF(K342&gt;0;AT342/K342;"")</f>
        <v/>
      </c>
    </row>
    <row r="343">
      <c r="A343">
        <f>ROW()-1</f>
        <v/>
      </c>
      <c r="K343" s="2">
        <f>IFERROR(INDEX('_Цены_закупки'!$B:$B;MATCH(C343;'_Цены_закупки'!$A:$A;0));"")</f>
        <v/>
      </c>
      <c r="L343" s="2" t="n"/>
      <c r="M343" s="2" t="n"/>
      <c r="N343" s="3">
        <f>IF(AND(M343&gt;0;L343&gt;0);1-L343/M343;"")</f>
        <v/>
      </c>
      <c r="O343" s="2">
        <f>IF(OR(Q343="";K343=0);"";(K343+IF(AM343&gt;0;AM343;'_Настройки'!$B$9)+AP343+AC343+Q343*K343)/(1-AH343-AD343))</f>
        <v/>
      </c>
      <c r="P343" s="2">
        <f>IF(O343="";"";O343-K343-O343*AH343-O343*AD343-IF(AM343&gt;0;AM343;'_Настройки'!$B$9)-AP343-AC343)</f>
        <v/>
      </c>
      <c r="Q343" s="3">
        <f>IF(AND(O343&gt;0;K343&gt;0);P343/K343;"")</f>
        <v/>
      </c>
      <c r="R343" s="2">
        <f>IF(O343="";"";O343-K343-O343*AK343-O343*AD343-IF(AM343&gt;0;AM343;'_Настройки'!$B$9)-AP343-AC343)</f>
        <v/>
      </c>
      <c r="S343" s="3">
        <f>IF(AND(O343&gt;0;K343&gt;0);R343/K343;"")</f>
        <v/>
      </c>
      <c r="T343" s="2" t="n"/>
      <c r="U343" s="3">
        <f>IF(AND(L343&gt;0;T343&gt;0);1-T343/L343;"")</f>
        <v/>
      </c>
      <c r="V343" s="3">
        <f>'_Настройки'!$B$4</f>
        <v/>
      </c>
      <c r="Z343" s="4">
        <f>IF(AND(W343&gt;0;X343&gt;0;Y343&gt;0);W343*X343*Y343/1000;"")</f>
        <v/>
      </c>
      <c r="AB343" s="2">
        <f>('_Настройки'!$B$6+MAX(0;Z343-1)*'_Настройки'!$B$7)*IF(AA343&gt;0;AA343;'_Настройки'!$B$10)</f>
        <v/>
      </c>
      <c r="AC343" s="2">
        <f>AB343*(1+'_Настройки'!$B$8)</f>
        <v/>
      </c>
      <c r="AD343" s="3">
        <f>'_Настройки'!$B$2</f>
        <v/>
      </c>
      <c r="AE343" s="2">
        <f>L343*AD343</f>
        <v/>
      </c>
      <c r="AF343" s="3">
        <f>'_Настройки'!$B$3</f>
        <v/>
      </c>
      <c r="AG343" s="3">
        <f>IFERROR(INDEX('_Комиссия_ВБ'!$B:$B;MATCH(C343;'_Комиссия_ВБ'!$A:$A;0));0,245)</f>
        <v/>
      </c>
      <c r="AH343" s="3">
        <f>AG343+AF343</f>
        <v/>
      </c>
      <c r="AI343" s="2">
        <f>L343*AH343</f>
        <v/>
      </c>
      <c r="AJ343" s="3">
        <f>IFERROR(INDEX('_Комиссия_ВБ'!$C:$C;MATCH(C343;'_Комиссия_ВБ'!$A:$A;0));0,28)</f>
        <v/>
      </c>
      <c r="AK343" s="3">
        <f>AJ343+AF343</f>
        <v/>
      </c>
      <c r="AL343" s="2">
        <f>L343*AK343</f>
        <v/>
      </c>
      <c r="AM343" s="2" t="n"/>
      <c r="AO343" s="3">
        <f>'_Настройки'!$B$5</f>
        <v/>
      </c>
      <c r="AP343" s="2">
        <f>IF(K343&gt;0;K343*AO343;0)</f>
        <v/>
      </c>
      <c r="AQ343" s="2">
        <f>L343-K343-AI343-AE343-IF(AM343&gt;0;AM343;'_Настройки'!$B$9)-AP343-AC343</f>
        <v/>
      </c>
      <c r="AR343" s="3">
        <f>IF(L343&gt;0;AQ343/L343;"")</f>
        <v/>
      </c>
      <c r="AS343" s="3">
        <f>IF(K343&gt;0;AQ343/K343;"")</f>
        <v/>
      </c>
      <c r="AT343" s="2">
        <f>L343-K343-AL343-AE343-IF(AM343&gt;0;AM343;'_Настройки'!$B$9)-AP343-AC343</f>
        <v/>
      </c>
      <c r="AU343" s="3">
        <f>IF(L343&gt;0;AT343/L343;"")</f>
        <v/>
      </c>
      <c r="AV343" s="3">
        <f>IF(K343&gt;0;AT343/K343;"")</f>
        <v/>
      </c>
    </row>
    <row r="344">
      <c r="A344">
        <f>ROW()-1</f>
        <v/>
      </c>
      <c r="K344" s="2">
        <f>IFERROR(INDEX('_Цены_закупки'!$B:$B;MATCH(C344;'_Цены_закупки'!$A:$A;0));"")</f>
        <v/>
      </c>
      <c r="L344" s="2" t="n"/>
      <c r="M344" s="2" t="n"/>
      <c r="N344" s="3">
        <f>IF(AND(M344&gt;0;L344&gt;0);1-L344/M344;"")</f>
        <v/>
      </c>
      <c r="O344" s="2">
        <f>IF(OR(Q344="";K344=0);"";(K344+IF(AM344&gt;0;AM344;'_Настройки'!$B$9)+AP344+AC344+Q344*K344)/(1-AH344-AD344))</f>
        <v/>
      </c>
      <c r="P344" s="2">
        <f>IF(O344="";"";O344-K344-O344*AH344-O344*AD344-IF(AM344&gt;0;AM344;'_Настройки'!$B$9)-AP344-AC344)</f>
        <v/>
      </c>
      <c r="Q344" s="3">
        <f>IF(AND(O344&gt;0;K344&gt;0);P344/K344;"")</f>
        <v/>
      </c>
      <c r="R344" s="2">
        <f>IF(O344="";"";O344-K344-O344*AK344-O344*AD344-IF(AM344&gt;0;AM344;'_Настройки'!$B$9)-AP344-AC344)</f>
        <v/>
      </c>
      <c r="S344" s="3">
        <f>IF(AND(O344&gt;0;K344&gt;0);R344/K344;"")</f>
        <v/>
      </c>
      <c r="T344" s="2" t="n"/>
      <c r="U344" s="3">
        <f>IF(AND(L344&gt;0;T344&gt;0);1-T344/L344;"")</f>
        <v/>
      </c>
      <c r="V344" s="3">
        <f>'_Настройки'!$B$4</f>
        <v/>
      </c>
      <c r="Z344" s="4">
        <f>IF(AND(W344&gt;0;X344&gt;0;Y344&gt;0);W344*X344*Y344/1000;"")</f>
        <v/>
      </c>
      <c r="AB344" s="2">
        <f>('_Настройки'!$B$6+MAX(0;Z344-1)*'_Настройки'!$B$7)*IF(AA344&gt;0;AA344;'_Настройки'!$B$10)</f>
        <v/>
      </c>
      <c r="AC344" s="2">
        <f>AB344*(1+'_Настройки'!$B$8)</f>
        <v/>
      </c>
      <c r="AD344" s="3">
        <f>'_Настройки'!$B$2</f>
        <v/>
      </c>
      <c r="AE344" s="2">
        <f>L344*AD344</f>
        <v/>
      </c>
      <c r="AF344" s="3">
        <f>'_Настройки'!$B$3</f>
        <v/>
      </c>
      <c r="AG344" s="3">
        <f>IFERROR(INDEX('_Комиссия_ВБ'!$B:$B;MATCH(C344;'_Комиссия_ВБ'!$A:$A;0));0,245)</f>
        <v/>
      </c>
      <c r="AH344" s="3">
        <f>AG344+AF344</f>
        <v/>
      </c>
      <c r="AI344" s="2">
        <f>L344*AH344</f>
        <v/>
      </c>
      <c r="AJ344" s="3">
        <f>IFERROR(INDEX('_Комиссия_ВБ'!$C:$C;MATCH(C344;'_Комиссия_ВБ'!$A:$A;0));0,28)</f>
        <v/>
      </c>
      <c r="AK344" s="3">
        <f>AJ344+AF344</f>
        <v/>
      </c>
      <c r="AL344" s="2">
        <f>L344*AK344</f>
        <v/>
      </c>
      <c r="AM344" s="2" t="n"/>
      <c r="AO344" s="3">
        <f>'_Настройки'!$B$5</f>
        <v/>
      </c>
      <c r="AP344" s="2">
        <f>IF(K344&gt;0;K344*AO344;0)</f>
        <v/>
      </c>
      <c r="AQ344" s="2">
        <f>L344-K344-AI344-AE344-IF(AM344&gt;0;AM344;'_Настройки'!$B$9)-AP344-AC344</f>
        <v/>
      </c>
      <c r="AR344" s="3">
        <f>IF(L344&gt;0;AQ344/L344;"")</f>
        <v/>
      </c>
      <c r="AS344" s="3">
        <f>IF(K344&gt;0;AQ344/K344;"")</f>
        <v/>
      </c>
      <c r="AT344" s="2">
        <f>L344-K344-AL344-AE344-IF(AM344&gt;0;AM344;'_Настройки'!$B$9)-AP344-AC344</f>
        <v/>
      </c>
      <c r="AU344" s="3">
        <f>IF(L344&gt;0;AT344/L344;"")</f>
        <v/>
      </c>
      <c r="AV344" s="3">
        <f>IF(K344&gt;0;AT344/K344;"")</f>
        <v/>
      </c>
    </row>
    <row r="345">
      <c r="A345">
        <f>ROW()-1</f>
        <v/>
      </c>
      <c r="K345" s="2">
        <f>IFERROR(INDEX('_Цены_закупки'!$B:$B;MATCH(C345;'_Цены_закупки'!$A:$A;0));"")</f>
        <v/>
      </c>
      <c r="L345" s="2" t="n"/>
      <c r="M345" s="2" t="n"/>
      <c r="N345" s="3">
        <f>IF(AND(M345&gt;0;L345&gt;0);1-L345/M345;"")</f>
        <v/>
      </c>
      <c r="O345" s="2">
        <f>IF(OR(Q345="";K345=0);"";(K345+IF(AM345&gt;0;AM345;'_Настройки'!$B$9)+AP345+AC345+Q345*K345)/(1-AH345-AD345))</f>
        <v/>
      </c>
      <c r="P345" s="2">
        <f>IF(O345="";"";O345-K345-O345*AH345-O345*AD345-IF(AM345&gt;0;AM345;'_Настройки'!$B$9)-AP345-AC345)</f>
        <v/>
      </c>
      <c r="Q345" s="3">
        <f>IF(AND(O345&gt;0;K345&gt;0);P345/K345;"")</f>
        <v/>
      </c>
      <c r="R345" s="2">
        <f>IF(O345="";"";O345-K345-O345*AK345-O345*AD345-IF(AM345&gt;0;AM345;'_Настройки'!$B$9)-AP345-AC345)</f>
        <v/>
      </c>
      <c r="S345" s="3">
        <f>IF(AND(O345&gt;0;K345&gt;0);R345/K345;"")</f>
        <v/>
      </c>
      <c r="T345" s="2" t="n"/>
      <c r="U345" s="3">
        <f>IF(AND(L345&gt;0;T345&gt;0);1-T345/L345;"")</f>
        <v/>
      </c>
      <c r="V345" s="3">
        <f>'_Настройки'!$B$4</f>
        <v/>
      </c>
      <c r="Z345" s="4">
        <f>IF(AND(W345&gt;0;X345&gt;0;Y345&gt;0);W345*X345*Y345/1000;"")</f>
        <v/>
      </c>
      <c r="AB345" s="2">
        <f>('_Настройки'!$B$6+MAX(0;Z345-1)*'_Настройки'!$B$7)*IF(AA345&gt;0;AA345;'_Настройки'!$B$10)</f>
        <v/>
      </c>
      <c r="AC345" s="2">
        <f>AB345*(1+'_Настройки'!$B$8)</f>
        <v/>
      </c>
      <c r="AD345" s="3">
        <f>'_Настройки'!$B$2</f>
        <v/>
      </c>
      <c r="AE345" s="2">
        <f>L345*AD345</f>
        <v/>
      </c>
      <c r="AF345" s="3">
        <f>'_Настройки'!$B$3</f>
        <v/>
      </c>
      <c r="AG345" s="3">
        <f>IFERROR(INDEX('_Комиссия_ВБ'!$B:$B;MATCH(C345;'_Комиссия_ВБ'!$A:$A;0));0,245)</f>
        <v/>
      </c>
      <c r="AH345" s="3">
        <f>AG345+AF345</f>
        <v/>
      </c>
      <c r="AI345" s="2">
        <f>L345*AH345</f>
        <v/>
      </c>
      <c r="AJ345" s="3">
        <f>IFERROR(INDEX('_Комиссия_ВБ'!$C:$C;MATCH(C345;'_Комиссия_ВБ'!$A:$A;0));0,28)</f>
        <v/>
      </c>
      <c r="AK345" s="3">
        <f>AJ345+AF345</f>
        <v/>
      </c>
      <c r="AL345" s="2">
        <f>L345*AK345</f>
        <v/>
      </c>
      <c r="AM345" s="2" t="n"/>
      <c r="AO345" s="3">
        <f>'_Настройки'!$B$5</f>
        <v/>
      </c>
      <c r="AP345" s="2">
        <f>IF(K345&gt;0;K345*AO345;0)</f>
        <v/>
      </c>
      <c r="AQ345" s="2">
        <f>L345-K345-AI345-AE345-IF(AM345&gt;0;AM345;'_Настройки'!$B$9)-AP345-AC345</f>
        <v/>
      </c>
      <c r="AR345" s="3">
        <f>IF(L345&gt;0;AQ345/L345;"")</f>
        <v/>
      </c>
      <c r="AS345" s="3">
        <f>IF(K345&gt;0;AQ345/K345;"")</f>
        <v/>
      </c>
      <c r="AT345" s="2">
        <f>L345-K345-AL345-AE345-IF(AM345&gt;0;AM345;'_Настройки'!$B$9)-AP345-AC345</f>
        <v/>
      </c>
      <c r="AU345" s="3">
        <f>IF(L345&gt;0;AT345/L345;"")</f>
        <v/>
      </c>
      <c r="AV345" s="3">
        <f>IF(K345&gt;0;AT345/K345;"")</f>
        <v/>
      </c>
    </row>
    <row r="346">
      <c r="A346">
        <f>ROW()-1</f>
        <v/>
      </c>
      <c r="K346" s="2">
        <f>IFERROR(INDEX('_Цены_закупки'!$B:$B;MATCH(C346;'_Цены_закупки'!$A:$A;0));"")</f>
        <v/>
      </c>
      <c r="L346" s="2" t="n"/>
      <c r="M346" s="2" t="n"/>
      <c r="N346" s="3">
        <f>IF(AND(M346&gt;0;L346&gt;0);1-L346/M346;"")</f>
        <v/>
      </c>
      <c r="O346" s="2">
        <f>IF(OR(Q346="";K346=0);"";(K346+IF(AM346&gt;0;AM346;'_Настройки'!$B$9)+AP346+AC346+Q346*K346)/(1-AH346-AD346))</f>
        <v/>
      </c>
      <c r="P346" s="2">
        <f>IF(O346="";"";O346-K346-O346*AH346-O346*AD346-IF(AM346&gt;0;AM346;'_Настройки'!$B$9)-AP346-AC346)</f>
        <v/>
      </c>
      <c r="Q346" s="3">
        <f>IF(AND(O346&gt;0;K346&gt;0);P346/K346;"")</f>
        <v/>
      </c>
      <c r="R346" s="2">
        <f>IF(O346="";"";O346-K346-O346*AK346-O346*AD346-IF(AM346&gt;0;AM346;'_Настройки'!$B$9)-AP346-AC346)</f>
        <v/>
      </c>
      <c r="S346" s="3">
        <f>IF(AND(O346&gt;0;K346&gt;0);R346/K346;"")</f>
        <v/>
      </c>
      <c r="T346" s="2" t="n"/>
      <c r="U346" s="3">
        <f>IF(AND(L346&gt;0;T346&gt;0);1-T346/L346;"")</f>
        <v/>
      </c>
      <c r="V346" s="3">
        <f>'_Настройки'!$B$4</f>
        <v/>
      </c>
      <c r="Z346" s="4">
        <f>IF(AND(W346&gt;0;X346&gt;0;Y346&gt;0);W346*X346*Y346/1000;"")</f>
        <v/>
      </c>
      <c r="AB346" s="2">
        <f>('_Настройки'!$B$6+MAX(0;Z346-1)*'_Настройки'!$B$7)*IF(AA346&gt;0;AA346;'_Настройки'!$B$10)</f>
        <v/>
      </c>
      <c r="AC346" s="2">
        <f>AB346*(1+'_Настройки'!$B$8)</f>
        <v/>
      </c>
      <c r="AD346" s="3">
        <f>'_Настройки'!$B$2</f>
        <v/>
      </c>
      <c r="AE346" s="2">
        <f>L346*AD346</f>
        <v/>
      </c>
      <c r="AF346" s="3">
        <f>'_Настройки'!$B$3</f>
        <v/>
      </c>
      <c r="AG346" s="3">
        <f>IFERROR(INDEX('_Комиссия_ВБ'!$B:$B;MATCH(C346;'_Комиссия_ВБ'!$A:$A;0));0,245)</f>
        <v/>
      </c>
      <c r="AH346" s="3">
        <f>AG346+AF346</f>
        <v/>
      </c>
      <c r="AI346" s="2">
        <f>L346*AH346</f>
        <v/>
      </c>
      <c r="AJ346" s="3">
        <f>IFERROR(INDEX('_Комиссия_ВБ'!$C:$C;MATCH(C346;'_Комиссия_ВБ'!$A:$A;0));0,28)</f>
        <v/>
      </c>
      <c r="AK346" s="3">
        <f>AJ346+AF346</f>
        <v/>
      </c>
      <c r="AL346" s="2">
        <f>L346*AK346</f>
        <v/>
      </c>
      <c r="AM346" s="2" t="n"/>
      <c r="AO346" s="3">
        <f>'_Настройки'!$B$5</f>
        <v/>
      </c>
      <c r="AP346" s="2">
        <f>IF(K346&gt;0;K346*AO346;0)</f>
        <v/>
      </c>
      <c r="AQ346" s="2">
        <f>L346-K346-AI346-AE346-IF(AM346&gt;0;AM346;'_Настройки'!$B$9)-AP346-AC346</f>
        <v/>
      </c>
      <c r="AR346" s="3">
        <f>IF(L346&gt;0;AQ346/L346;"")</f>
        <v/>
      </c>
      <c r="AS346" s="3">
        <f>IF(K346&gt;0;AQ346/K346;"")</f>
        <v/>
      </c>
      <c r="AT346" s="2">
        <f>L346-K346-AL346-AE346-IF(AM346&gt;0;AM346;'_Настройки'!$B$9)-AP346-AC346</f>
        <v/>
      </c>
      <c r="AU346" s="3">
        <f>IF(L346&gt;0;AT346/L346;"")</f>
        <v/>
      </c>
      <c r="AV346" s="3">
        <f>IF(K346&gt;0;AT346/K346;"")</f>
        <v/>
      </c>
    </row>
    <row r="347">
      <c r="A347">
        <f>ROW()-1</f>
        <v/>
      </c>
      <c r="K347" s="2">
        <f>IFERROR(INDEX('_Цены_закупки'!$B:$B;MATCH(C347;'_Цены_закупки'!$A:$A;0));"")</f>
        <v/>
      </c>
      <c r="L347" s="2" t="n"/>
      <c r="M347" s="2" t="n"/>
      <c r="N347" s="3">
        <f>IF(AND(M347&gt;0;L347&gt;0);1-L347/M347;"")</f>
        <v/>
      </c>
      <c r="O347" s="2">
        <f>IF(OR(Q347="";K347=0);"";(K347+IF(AM347&gt;0;AM347;'_Настройки'!$B$9)+AP347+AC347+Q347*K347)/(1-AH347-AD347))</f>
        <v/>
      </c>
      <c r="P347" s="2">
        <f>IF(O347="";"";O347-K347-O347*AH347-O347*AD347-IF(AM347&gt;0;AM347;'_Настройки'!$B$9)-AP347-AC347)</f>
        <v/>
      </c>
      <c r="Q347" s="3">
        <f>IF(AND(O347&gt;0;K347&gt;0);P347/K347;"")</f>
        <v/>
      </c>
      <c r="R347" s="2">
        <f>IF(O347="";"";O347-K347-O347*AK347-O347*AD347-IF(AM347&gt;0;AM347;'_Настройки'!$B$9)-AP347-AC347)</f>
        <v/>
      </c>
      <c r="S347" s="3">
        <f>IF(AND(O347&gt;0;K347&gt;0);R347/K347;"")</f>
        <v/>
      </c>
      <c r="T347" s="2" t="n"/>
      <c r="U347" s="3">
        <f>IF(AND(L347&gt;0;T347&gt;0);1-T347/L347;"")</f>
        <v/>
      </c>
      <c r="V347" s="3">
        <f>'_Настройки'!$B$4</f>
        <v/>
      </c>
      <c r="Z347" s="4">
        <f>IF(AND(W347&gt;0;X347&gt;0;Y347&gt;0);W347*X347*Y347/1000;"")</f>
        <v/>
      </c>
      <c r="AB347" s="2">
        <f>('_Настройки'!$B$6+MAX(0;Z347-1)*'_Настройки'!$B$7)*IF(AA347&gt;0;AA347;'_Настройки'!$B$10)</f>
        <v/>
      </c>
      <c r="AC347" s="2">
        <f>AB347*(1+'_Настройки'!$B$8)</f>
        <v/>
      </c>
      <c r="AD347" s="3">
        <f>'_Настройки'!$B$2</f>
        <v/>
      </c>
      <c r="AE347" s="2">
        <f>L347*AD347</f>
        <v/>
      </c>
      <c r="AF347" s="3">
        <f>'_Настройки'!$B$3</f>
        <v/>
      </c>
      <c r="AG347" s="3">
        <f>IFERROR(INDEX('_Комиссия_ВБ'!$B:$B;MATCH(C347;'_Комиссия_ВБ'!$A:$A;0));0,245)</f>
        <v/>
      </c>
      <c r="AH347" s="3">
        <f>AG347+AF347</f>
        <v/>
      </c>
      <c r="AI347" s="2">
        <f>L347*AH347</f>
        <v/>
      </c>
      <c r="AJ347" s="3">
        <f>IFERROR(INDEX('_Комиссия_ВБ'!$C:$C;MATCH(C347;'_Комиссия_ВБ'!$A:$A;0));0,28)</f>
        <v/>
      </c>
      <c r="AK347" s="3">
        <f>AJ347+AF347</f>
        <v/>
      </c>
      <c r="AL347" s="2">
        <f>L347*AK347</f>
        <v/>
      </c>
      <c r="AM347" s="2" t="n"/>
      <c r="AO347" s="3">
        <f>'_Настройки'!$B$5</f>
        <v/>
      </c>
      <c r="AP347" s="2">
        <f>IF(K347&gt;0;K347*AO347;0)</f>
        <v/>
      </c>
      <c r="AQ347" s="2">
        <f>L347-K347-AI347-AE347-IF(AM347&gt;0;AM347;'_Настройки'!$B$9)-AP347-AC347</f>
        <v/>
      </c>
      <c r="AR347" s="3">
        <f>IF(L347&gt;0;AQ347/L347;"")</f>
        <v/>
      </c>
      <c r="AS347" s="3">
        <f>IF(K347&gt;0;AQ347/K347;"")</f>
        <v/>
      </c>
      <c r="AT347" s="2">
        <f>L347-K347-AL347-AE347-IF(AM347&gt;0;AM347;'_Настройки'!$B$9)-AP347-AC347</f>
        <v/>
      </c>
      <c r="AU347" s="3">
        <f>IF(L347&gt;0;AT347/L347;"")</f>
        <v/>
      </c>
      <c r="AV347" s="3">
        <f>IF(K347&gt;0;AT347/K347;"")</f>
        <v/>
      </c>
    </row>
    <row r="348">
      <c r="A348">
        <f>ROW()-1</f>
        <v/>
      </c>
      <c r="K348" s="2">
        <f>IFERROR(INDEX('_Цены_закупки'!$B:$B;MATCH(C348;'_Цены_закупки'!$A:$A;0));"")</f>
        <v/>
      </c>
      <c r="L348" s="2" t="n"/>
      <c r="M348" s="2" t="n"/>
      <c r="N348" s="3">
        <f>IF(AND(M348&gt;0;L348&gt;0);1-L348/M348;"")</f>
        <v/>
      </c>
      <c r="O348" s="2">
        <f>IF(OR(Q348="";K348=0);"";(K348+IF(AM348&gt;0;AM348;'_Настройки'!$B$9)+AP348+AC348+Q348*K348)/(1-AH348-AD348))</f>
        <v/>
      </c>
      <c r="P348" s="2">
        <f>IF(O348="";"";O348-K348-O348*AH348-O348*AD348-IF(AM348&gt;0;AM348;'_Настройки'!$B$9)-AP348-AC348)</f>
        <v/>
      </c>
      <c r="Q348" s="3">
        <f>IF(AND(O348&gt;0;K348&gt;0);P348/K348;"")</f>
        <v/>
      </c>
      <c r="R348" s="2">
        <f>IF(O348="";"";O348-K348-O348*AK348-O348*AD348-IF(AM348&gt;0;AM348;'_Настройки'!$B$9)-AP348-AC348)</f>
        <v/>
      </c>
      <c r="S348" s="3">
        <f>IF(AND(O348&gt;0;K348&gt;0);R348/K348;"")</f>
        <v/>
      </c>
      <c r="T348" s="2" t="n"/>
      <c r="U348" s="3">
        <f>IF(AND(L348&gt;0;T348&gt;0);1-T348/L348;"")</f>
        <v/>
      </c>
      <c r="V348" s="3">
        <f>'_Настройки'!$B$4</f>
        <v/>
      </c>
      <c r="Z348" s="4">
        <f>IF(AND(W348&gt;0;X348&gt;0;Y348&gt;0);W348*X348*Y348/1000;"")</f>
        <v/>
      </c>
      <c r="AB348" s="2">
        <f>('_Настройки'!$B$6+MAX(0;Z348-1)*'_Настройки'!$B$7)*IF(AA348&gt;0;AA348;'_Настройки'!$B$10)</f>
        <v/>
      </c>
      <c r="AC348" s="2">
        <f>AB348*(1+'_Настройки'!$B$8)</f>
        <v/>
      </c>
      <c r="AD348" s="3">
        <f>'_Настройки'!$B$2</f>
        <v/>
      </c>
      <c r="AE348" s="2">
        <f>L348*AD348</f>
        <v/>
      </c>
      <c r="AF348" s="3">
        <f>'_Настройки'!$B$3</f>
        <v/>
      </c>
      <c r="AG348" s="3">
        <f>IFERROR(INDEX('_Комиссия_ВБ'!$B:$B;MATCH(C348;'_Комиссия_ВБ'!$A:$A;0));0,245)</f>
        <v/>
      </c>
      <c r="AH348" s="3">
        <f>AG348+AF348</f>
        <v/>
      </c>
      <c r="AI348" s="2">
        <f>L348*AH348</f>
        <v/>
      </c>
      <c r="AJ348" s="3">
        <f>IFERROR(INDEX('_Комиссия_ВБ'!$C:$C;MATCH(C348;'_Комиссия_ВБ'!$A:$A;0));0,28)</f>
        <v/>
      </c>
      <c r="AK348" s="3">
        <f>AJ348+AF348</f>
        <v/>
      </c>
      <c r="AL348" s="2">
        <f>L348*AK348</f>
        <v/>
      </c>
      <c r="AM348" s="2" t="n"/>
      <c r="AO348" s="3">
        <f>'_Настройки'!$B$5</f>
        <v/>
      </c>
      <c r="AP348" s="2">
        <f>IF(K348&gt;0;K348*AO348;0)</f>
        <v/>
      </c>
      <c r="AQ348" s="2">
        <f>L348-K348-AI348-AE348-IF(AM348&gt;0;AM348;'_Настройки'!$B$9)-AP348-AC348</f>
        <v/>
      </c>
      <c r="AR348" s="3">
        <f>IF(L348&gt;0;AQ348/L348;"")</f>
        <v/>
      </c>
      <c r="AS348" s="3">
        <f>IF(K348&gt;0;AQ348/K348;"")</f>
        <v/>
      </c>
      <c r="AT348" s="2">
        <f>L348-K348-AL348-AE348-IF(AM348&gt;0;AM348;'_Настройки'!$B$9)-AP348-AC348</f>
        <v/>
      </c>
      <c r="AU348" s="3">
        <f>IF(L348&gt;0;AT348/L348;"")</f>
        <v/>
      </c>
      <c r="AV348" s="3">
        <f>IF(K348&gt;0;AT348/K348;"")</f>
        <v/>
      </c>
    </row>
    <row r="349">
      <c r="A349">
        <f>ROW()-1</f>
        <v/>
      </c>
      <c r="K349" s="2">
        <f>IFERROR(INDEX('_Цены_закупки'!$B:$B;MATCH(C349;'_Цены_закупки'!$A:$A;0));"")</f>
        <v/>
      </c>
      <c r="L349" s="2" t="n"/>
      <c r="M349" s="2" t="n"/>
      <c r="N349" s="3">
        <f>IF(AND(M349&gt;0;L349&gt;0);1-L349/M349;"")</f>
        <v/>
      </c>
      <c r="O349" s="2">
        <f>IF(OR(Q349="";K349=0);"";(K349+IF(AM349&gt;0;AM349;'_Настройки'!$B$9)+AP349+AC349+Q349*K349)/(1-AH349-AD349))</f>
        <v/>
      </c>
      <c r="P349" s="2">
        <f>IF(O349="";"";O349-K349-O349*AH349-O349*AD349-IF(AM349&gt;0;AM349;'_Настройки'!$B$9)-AP349-AC349)</f>
        <v/>
      </c>
      <c r="Q349" s="3">
        <f>IF(AND(O349&gt;0;K349&gt;0);P349/K349;"")</f>
        <v/>
      </c>
      <c r="R349" s="2">
        <f>IF(O349="";"";O349-K349-O349*AK349-O349*AD349-IF(AM349&gt;0;AM349;'_Настройки'!$B$9)-AP349-AC349)</f>
        <v/>
      </c>
      <c r="S349" s="3">
        <f>IF(AND(O349&gt;0;K349&gt;0);R349/K349;"")</f>
        <v/>
      </c>
      <c r="T349" s="2" t="n"/>
      <c r="U349" s="3">
        <f>IF(AND(L349&gt;0;T349&gt;0);1-T349/L349;"")</f>
        <v/>
      </c>
      <c r="V349" s="3">
        <f>'_Настройки'!$B$4</f>
        <v/>
      </c>
      <c r="Z349" s="4">
        <f>IF(AND(W349&gt;0;X349&gt;0;Y349&gt;0);W349*X349*Y349/1000;"")</f>
        <v/>
      </c>
      <c r="AB349" s="2">
        <f>('_Настройки'!$B$6+MAX(0;Z349-1)*'_Настройки'!$B$7)*IF(AA349&gt;0;AA349;'_Настройки'!$B$10)</f>
        <v/>
      </c>
      <c r="AC349" s="2">
        <f>AB349*(1+'_Настройки'!$B$8)</f>
        <v/>
      </c>
      <c r="AD349" s="3">
        <f>'_Настройки'!$B$2</f>
        <v/>
      </c>
      <c r="AE349" s="2">
        <f>L349*AD349</f>
        <v/>
      </c>
      <c r="AF349" s="3">
        <f>'_Настройки'!$B$3</f>
        <v/>
      </c>
      <c r="AG349" s="3">
        <f>IFERROR(INDEX('_Комиссия_ВБ'!$B:$B;MATCH(C349;'_Комиссия_ВБ'!$A:$A;0));0,245)</f>
        <v/>
      </c>
      <c r="AH349" s="3">
        <f>AG349+AF349</f>
        <v/>
      </c>
      <c r="AI349" s="2">
        <f>L349*AH349</f>
        <v/>
      </c>
      <c r="AJ349" s="3">
        <f>IFERROR(INDEX('_Комиссия_ВБ'!$C:$C;MATCH(C349;'_Комиссия_ВБ'!$A:$A;0));0,28)</f>
        <v/>
      </c>
      <c r="AK349" s="3">
        <f>AJ349+AF349</f>
        <v/>
      </c>
      <c r="AL349" s="2">
        <f>L349*AK349</f>
        <v/>
      </c>
      <c r="AM349" s="2" t="n"/>
      <c r="AO349" s="3">
        <f>'_Настройки'!$B$5</f>
        <v/>
      </c>
      <c r="AP349" s="2">
        <f>IF(K349&gt;0;K349*AO349;0)</f>
        <v/>
      </c>
      <c r="AQ349" s="2">
        <f>L349-K349-AI349-AE349-IF(AM349&gt;0;AM349;'_Настройки'!$B$9)-AP349-AC349</f>
        <v/>
      </c>
      <c r="AR349" s="3">
        <f>IF(L349&gt;0;AQ349/L349;"")</f>
        <v/>
      </c>
      <c r="AS349" s="3">
        <f>IF(K349&gt;0;AQ349/K349;"")</f>
        <v/>
      </c>
      <c r="AT349" s="2">
        <f>L349-K349-AL349-AE349-IF(AM349&gt;0;AM349;'_Настройки'!$B$9)-AP349-AC349</f>
        <v/>
      </c>
      <c r="AU349" s="3">
        <f>IF(L349&gt;0;AT349/L349;"")</f>
        <v/>
      </c>
      <c r="AV349" s="3">
        <f>IF(K349&gt;0;AT349/K349;"")</f>
        <v/>
      </c>
    </row>
    <row r="350">
      <c r="A350">
        <f>ROW()-1</f>
        <v/>
      </c>
      <c r="K350" s="2">
        <f>IFERROR(INDEX('_Цены_закупки'!$B:$B;MATCH(C350;'_Цены_закупки'!$A:$A;0));"")</f>
        <v/>
      </c>
      <c r="L350" s="2" t="n"/>
      <c r="M350" s="2" t="n"/>
      <c r="N350" s="3">
        <f>IF(AND(M350&gt;0;L350&gt;0);1-L350/M350;"")</f>
        <v/>
      </c>
      <c r="O350" s="2">
        <f>IF(OR(Q350="";K350=0);"";(K350+IF(AM350&gt;0;AM350;'_Настройки'!$B$9)+AP350+AC350+Q350*K350)/(1-AH350-AD350))</f>
        <v/>
      </c>
      <c r="P350" s="2">
        <f>IF(O350="";"";O350-K350-O350*AH350-O350*AD350-IF(AM350&gt;0;AM350;'_Настройки'!$B$9)-AP350-AC350)</f>
        <v/>
      </c>
      <c r="Q350" s="3">
        <f>IF(AND(O350&gt;0;K350&gt;0);P350/K350;"")</f>
        <v/>
      </c>
      <c r="R350" s="2">
        <f>IF(O350="";"";O350-K350-O350*AK350-O350*AD350-IF(AM350&gt;0;AM350;'_Настройки'!$B$9)-AP350-AC350)</f>
        <v/>
      </c>
      <c r="S350" s="3">
        <f>IF(AND(O350&gt;0;K350&gt;0);R350/K350;"")</f>
        <v/>
      </c>
      <c r="T350" s="2" t="n"/>
      <c r="U350" s="3">
        <f>IF(AND(L350&gt;0;T350&gt;0);1-T350/L350;"")</f>
        <v/>
      </c>
      <c r="V350" s="3">
        <f>'_Настройки'!$B$4</f>
        <v/>
      </c>
      <c r="Z350" s="4">
        <f>IF(AND(W350&gt;0;X350&gt;0;Y350&gt;0);W350*X350*Y350/1000;"")</f>
        <v/>
      </c>
      <c r="AB350" s="2">
        <f>('_Настройки'!$B$6+MAX(0;Z350-1)*'_Настройки'!$B$7)*IF(AA350&gt;0;AA350;'_Настройки'!$B$10)</f>
        <v/>
      </c>
      <c r="AC350" s="2">
        <f>AB350*(1+'_Настройки'!$B$8)</f>
        <v/>
      </c>
      <c r="AD350" s="3">
        <f>'_Настройки'!$B$2</f>
        <v/>
      </c>
      <c r="AE350" s="2">
        <f>L350*AD350</f>
        <v/>
      </c>
      <c r="AF350" s="3">
        <f>'_Настройки'!$B$3</f>
        <v/>
      </c>
      <c r="AG350" s="3">
        <f>IFERROR(INDEX('_Комиссия_ВБ'!$B:$B;MATCH(C350;'_Комиссия_ВБ'!$A:$A;0));0,245)</f>
        <v/>
      </c>
      <c r="AH350" s="3">
        <f>AG350+AF350</f>
        <v/>
      </c>
      <c r="AI350" s="2">
        <f>L350*AH350</f>
        <v/>
      </c>
      <c r="AJ350" s="3">
        <f>IFERROR(INDEX('_Комиссия_ВБ'!$C:$C;MATCH(C350;'_Комиссия_ВБ'!$A:$A;0));0,28)</f>
        <v/>
      </c>
      <c r="AK350" s="3">
        <f>AJ350+AF350</f>
        <v/>
      </c>
      <c r="AL350" s="2">
        <f>L350*AK350</f>
        <v/>
      </c>
      <c r="AM350" s="2" t="n"/>
      <c r="AO350" s="3">
        <f>'_Настройки'!$B$5</f>
        <v/>
      </c>
      <c r="AP350" s="2">
        <f>IF(K350&gt;0;K350*AO350;0)</f>
        <v/>
      </c>
      <c r="AQ350" s="2">
        <f>L350-K350-AI350-AE350-IF(AM350&gt;0;AM350;'_Настройки'!$B$9)-AP350-AC350</f>
        <v/>
      </c>
      <c r="AR350" s="3">
        <f>IF(L350&gt;0;AQ350/L350;"")</f>
        <v/>
      </c>
      <c r="AS350" s="3">
        <f>IF(K350&gt;0;AQ350/K350;"")</f>
        <v/>
      </c>
      <c r="AT350" s="2">
        <f>L350-K350-AL350-AE350-IF(AM350&gt;0;AM350;'_Настройки'!$B$9)-AP350-AC350</f>
        <v/>
      </c>
      <c r="AU350" s="3">
        <f>IF(L350&gt;0;AT350/L350;"")</f>
        <v/>
      </c>
      <c r="AV350" s="3">
        <f>IF(K350&gt;0;AT350/K350;"")</f>
        <v/>
      </c>
    </row>
    <row r="351">
      <c r="A351">
        <f>ROW()-1</f>
        <v/>
      </c>
      <c r="K351" s="2">
        <f>IFERROR(INDEX('_Цены_закупки'!$B:$B;MATCH(C351;'_Цены_закупки'!$A:$A;0));"")</f>
        <v/>
      </c>
      <c r="L351" s="2" t="n"/>
      <c r="M351" s="2" t="n"/>
      <c r="N351" s="3">
        <f>IF(AND(M351&gt;0;L351&gt;0);1-L351/M351;"")</f>
        <v/>
      </c>
      <c r="O351" s="2">
        <f>IF(OR(Q351="";K351=0);"";(K351+IF(AM351&gt;0;AM351;'_Настройки'!$B$9)+AP351+AC351+Q351*K351)/(1-AH351-AD351))</f>
        <v/>
      </c>
      <c r="P351" s="2">
        <f>IF(O351="";"";O351-K351-O351*AH351-O351*AD351-IF(AM351&gt;0;AM351;'_Настройки'!$B$9)-AP351-AC351)</f>
        <v/>
      </c>
      <c r="Q351" s="3">
        <f>IF(AND(O351&gt;0;K351&gt;0);P351/K351;"")</f>
        <v/>
      </c>
      <c r="R351" s="2">
        <f>IF(O351="";"";O351-K351-O351*AK351-O351*AD351-IF(AM351&gt;0;AM351;'_Настройки'!$B$9)-AP351-AC351)</f>
        <v/>
      </c>
      <c r="S351" s="3">
        <f>IF(AND(O351&gt;0;K351&gt;0);R351/K351;"")</f>
        <v/>
      </c>
      <c r="T351" s="2" t="n"/>
      <c r="U351" s="3">
        <f>IF(AND(L351&gt;0;T351&gt;0);1-T351/L351;"")</f>
        <v/>
      </c>
      <c r="V351" s="3">
        <f>'_Настройки'!$B$4</f>
        <v/>
      </c>
      <c r="Z351" s="4">
        <f>IF(AND(W351&gt;0;X351&gt;0;Y351&gt;0);W351*X351*Y351/1000;"")</f>
        <v/>
      </c>
      <c r="AB351" s="2">
        <f>('_Настройки'!$B$6+MAX(0;Z351-1)*'_Настройки'!$B$7)*IF(AA351&gt;0;AA351;'_Настройки'!$B$10)</f>
        <v/>
      </c>
      <c r="AC351" s="2">
        <f>AB351*(1+'_Настройки'!$B$8)</f>
        <v/>
      </c>
      <c r="AD351" s="3">
        <f>'_Настройки'!$B$2</f>
        <v/>
      </c>
      <c r="AE351" s="2">
        <f>L351*AD351</f>
        <v/>
      </c>
      <c r="AF351" s="3">
        <f>'_Настройки'!$B$3</f>
        <v/>
      </c>
      <c r="AG351" s="3">
        <f>IFERROR(INDEX('_Комиссия_ВБ'!$B:$B;MATCH(C351;'_Комиссия_ВБ'!$A:$A;0));0,245)</f>
        <v/>
      </c>
      <c r="AH351" s="3">
        <f>AG351+AF351</f>
        <v/>
      </c>
      <c r="AI351" s="2">
        <f>L351*AH351</f>
        <v/>
      </c>
      <c r="AJ351" s="3">
        <f>IFERROR(INDEX('_Комиссия_ВБ'!$C:$C;MATCH(C351;'_Комиссия_ВБ'!$A:$A;0));0,28)</f>
        <v/>
      </c>
      <c r="AK351" s="3">
        <f>AJ351+AF351</f>
        <v/>
      </c>
      <c r="AL351" s="2">
        <f>L351*AK351</f>
        <v/>
      </c>
      <c r="AM351" s="2" t="n"/>
      <c r="AO351" s="3">
        <f>'_Настройки'!$B$5</f>
        <v/>
      </c>
      <c r="AP351" s="2">
        <f>IF(K351&gt;0;K351*AO351;0)</f>
        <v/>
      </c>
      <c r="AQ351" s="2">
        <f>L351-K351-AI351-AE351-IF(AM351&gt;0;AM351;'_Настройки'!$B$9)-AP351-AC351</f>
        <v/>
      </c>
      <c r="AR351" s="3">
        <f>IF(L351&gt;0;AQ351/L351;"")</f>
        <v/>
      </c>
      <c r="AS351" s="3">
        <f>IF(K351&gt;0;AQ351/K351;"")</f>
        <v/>
      </c>
      <c r="AT351" s="2">
        <f>L351-K351-AL351-AE351-IF(AM351&gt;0;AM351;'_Настройки'!$B$9)-AP351-AC351</f>
        <v/>
      </c>
      <c r="AU351" s="3">
        <f>IF(L351&gt;0;AT351/L351;"")</f>
        <v/>
      </c>
      <c r="AV351" s="3">
        <f>IF(K351&gt;0;AT351/K351;"")</f>
        <v/>
      </c>
    </row>
    <row r="352">
      <c r="A352">
        <f>ROW()-1</f>
        <v/>
      </c>
      <c r="K352" s="2">
        <f>IFERROR(INDEX('_Цены_закупки'!$B:$B;MATCH(C352;'_Цены_закупки'!$A:$A;0));"")</f>
        <v/>
      </c>
      <c r="L352" s="2" t="n"/>
      <c r="M352" s="2" t="n"/>
      <c r="N352" s="3">
        <f>IF(AND(M352&gt;0;L352&gt;0);1-L352/M352;"")</f>
        <v/>
      </c>
      <c r="O352" s="2">
        <f>IF(OR(Q352="";K352=0);"";(K352+IF(AM352&gt;0;AM352;'_Настройки'!$B$9)+AP352+AC352+Q352*K352)/(1-AH352-AD352))</f>
        <v/>
      </c>
      <c r="P352" s="2">
        <f>IF(O352="";"";O352-K352-O352*AH352-O352*AD352-IF(AM352&gt;0;AM352;'_Настройки'!$B$9)-AP352-AC352)</f>
        <v/>
      </c>
      <c r="Q352" s="3">
        <f>IF(AND(O352&gt;0;K352&gt;0);P352/K352;"")</f>
        <v/>
      </c>
      <c r="R352" s="2">
        <f>IF(O352="";"";O352-K352-O352*AK352-O352*AD352-IF(AM352&gt;0;AM352;'_Настройки'!$B$9)-AP352-AC352)</f>
        <v/>
      </c>
      <c r="S352" s="3">
        <f>IF(AND(O352&gt;0;K352&gt;0);R352/K352;"")</f>
        <v/>
      </c>
      <c r="T352" s="2" t="n"/>
      <c r="U352" s="3">
        <f>IF(AND(L352&gt;0;T352&gt;0);1-T352/L352;"")</f>
        <v/>
      </c>
      <c r="V352" s="3">
        <f>'_Настройки'!$B$4</f>
        <v/>
      </c>
      <c r="Z352" s="4">
        <f>IF(AND(W352&gt;0;X352&gt;0;Y352&gt;0);W352*X352*Y352/1000;"")</f>
        <v/>
      </c>
      <c r="AB352" s="2">
        <f>('_Настройки'!$B$6+MAX(0;Z352-1)*'_Настройки'!$B$7)*IF(AA352&gt;0;AA352;'_Настройки'!$B$10)</f>
        <v/>
      </c>
      <c r="AC352" s="2">
        <f>AB352*(1+'_Настройки'!$B$8)</f>
        <v/>
      </c>
      <c r="AD352" s="3">
        <f>'_Настройки'!$B$2</f>
        <v/>
      </c>
      <c r="AE352" s="2">
        <f>L352*AD352</f>
        <v/>
      </c>
      <c r="AF352" s="3">
        <f>'_Настройки'!$B$3</f>
        <v/>
      </c>
      <c r="AG352" s="3">
        <f>IFERROR(INDEX('_Комиссия_ВБ'!$B:$B;MATCH(C352;'_Комиссия_ВБ'!$A:$A;0));0,245)</f>
        <v/>
      </c>
      <c r="AH352" s="3">
        <f>AG352+AF352</f>
        <v/>
      </c>
      <c r="AI352" s="2">
        <f>L352*AH352</f>
        <v/>
      </c>
      <c r="AJ352" s="3">
        <f>IFERROR(INDEX('_Комиссия_ВБ'!$C:$C;MATCH(C352;'_Комиссия_ВБ'!$A:$A;0));0,28)</f>
        <v/>
      </c>
      <c r="AK352" s="3">
        <f>AJ352+AF352</f>
        <v/>
      </c>
      <c r="AL352" s="2">
        <f>L352*AK352</f>
        <v/>
      </c>
      <c r="AM352" s="2" t="n"/>
      <c r="AO352" s="3">
        <f>'_Настройки'!$B$5</f>
        <v/>
      </c>
      <c r="AP352" s="2">
        <f>IF(K352&gt;0;K352*AO352;0)</f>
        <v/>
      </c>
      <c r="AQ352" s="2">
        <f>L352-K352-AI352-AE352-IF(AM352&gt;0;AM352;'_Настройки'!$B$9)-AP352-AC352</f>
        <v/>
      </c>
      <c r="AR352" s="3">
        <f>IF(L352&gt;0;AQ352/L352;"")</f>
        <v/>
      </c>
      <c r="AS352" s="3">
        <f>IF(K352&gt;0;AQ352/K352;"")</f>
        <v/>
      </c>
      <c r="AT352" s="2">
        <f>L352-K352-AL352-AE352-IF(AM352&gt;0;AM352;'_Настройки'!$B$9)-AP352-AC352</f>
        <v/>
      </c>
      <c r="AU352" s="3">
        <f>IF(L352&gt;0;AT352/L352;"")</f>
        <v/>
      </c>
      <c r="AV352" s="3">
        <f>IF(K352&gt;0;AT352/K352;"")</f>
        <v/>
      </c>
    </row>
    <row r="353">
      <c r="A353">
        <f>ROW()-1</f>
        <v/>
      </c>
      <c r="K353" s="2">
        <f>IFERROR(INDEX('_Цены_закупки'!$B:$B;MATCH(C353;'_Цены_закупки'!$A:$A;0));"")</f>
        <v/>
      </c>
      <c r="L353" s="2" t="n"/>
      <c r="M353" s="2" t="n"/>
      <c r="N353" s="3">
        <f>IF(AND(M353&gt;0;L353&gt;0);1-L353/M353;"")</f>
        <v/>
      </c>
      <c r="O353" s="2">
        <f>IF(OR(Q353="";K353=0);"";(K353+IF(AM353&gt;0;AM353;'_Настройки'!$B$9)+AP353+AC353+Q353*K353)/(1-AH353-AD353))</f>
        <v/>
      </c>
      <c r="P353" s="2">
        <f>IF(O353="";"";O353-K353-O353*AH353-O353*AD353-IF(AM353&gt;0;AM353;'_Настройки'!$B$9)-AP353-AC353)</f>
        <v/>
      </c>
      <c r="Q353" s="3">
        <f>IF(AND(O353&gt;0;K353&gt;0);P353/K353;"")</f>
        <v/>
      </c>
      <c r="R353" s="2">
        <f>IF(O353="";"";O353-K353-O353*AK353-O353*AD353-IF(AM353&gt;0;AM353;'_Настройки'!$B$9)-AP353-AC353)</f>
        <v/>
      </c>
      <c r="S353" s="3">
        <f>IF(AND(O353&gt;0;K353&gt;0);R353/K353;"")</f>
        <v/>
      </c>
      <c r="T353" s="2" t="n"/>
      <c r="U353" s="3">
        <f>IF(AND(L353&gt;0;T353&gt;0);1-T353/L353;"")</f>
        <v/>
      </c>
      <c r="V353" s="3">
        <f>'_Настройки'!$B$4</f>
        <v/>
      </c>
      <c r="Z353" s="4">
        <f>IF(AND(W353&gt;0;X353&gt;0;Y353&gt;0);W353*X353*Y353/1000;"")</f>
        <v/>
      </c>
      <c r="AB353" s="2">
        <f>('_Настройки'!$B$6+MAX(0;Z353-1)*'_Настройки'!$B$7)*IF(AA353&gt;0;AA353;'_Настройки'!$B$10)</f>
        <v/>
      </c>
      <c r="AC353" s="2">
        <f>AB353*(1+'_Настройки'!$B$8)</f>
        <v/>
      </c>
      <c r="AD353" s="3">
        <f>'_Настройки'!$B$2</f>
        <v/>
      </c>
      <c r="AE353" s="2">
        <f>L353*AD353</f>
        <v/>
      </c>
      <c r="AF353" s="3">
        <f>'_Настройки'!$B$3</f>
        <v/>
      </c>
      <c r="AG353" s="3">
        <f>IFERROR(INDEX('_Комиссия_ВБ'!$B:$B;MATCH(C353;'_Комиссия_ВБ'!$A:$A;0));0,245)</f>
        <v/>
      </c>
      <c r="AH353" s="3">
        <f>AG353+AF353</f>
        <v/>
      </c>
      <c r="AI353" s="2">
        <f>L353*AH353</f>
        <v/>
      </c>
      <c r="AJ353" s="3">
        <f>IFERROR(INDEX('_Комиссия_ВБ'!$C:$C;MATCH(C353;'_Комиссия_ВБ'!$A:$A;0));0,28)</f>
        <v/>
      </c>
      <c r="AK353" s="3">
        <f>AJ353+AF353</f>
        <v/>
      </c>
      <c r="AL353" s="2">
        <f>L353*AK353</f>
        <v/>
      </c>
      <c r="AM353" s="2" t="n"/>
      <c r="AO353" s="3">
        <f>'_Настройки'!$B$5</f>
        <v/>
      </c>
      <c r="AP353" s="2">
        <f>IF(K353&gt;0;K353*AO353;0)</f>
        <v/>
      </c>
      <c r="AQ353" s="2">
        <f>L353-K353-AI353-AE353-IF(AM353&gt;0;AM353;'_Настройки'!$B$9)-AP353-AC353</f>
        <v/>
      </c>
      <c r="AR353" s="3">
        <f>IF(L353&gt;0;AQ353/L353;"")</f>
        <v/>
      </c>
      <c r="AS353" s="3">
        <f>IF(K353&gt;0;AQ353/K353;"")</f>
        <v/>
      </c>
      <c r="AT353" s="2">
        <f>L353-K353-AL353-AE353-IF(AM353&gt;0;AM353;'_Настройки'!$B$9)-AP353-AC353</f>
        <v/>
      </c>
      <c r="AU353" s="3">
        <f>IF(L353&gt;0;AT353/L353;"")</f>
        <v/>
      </c>
      <c r="AV353" s="3">
        <f>IF(K353&gt;0;AT353/K353;"")</f>
        <v/>
      </c>
    </row>
    <row r="354">
      <c r="A354">
        <f>ROW()-1</f>
        <v/>
      </c>
      <c r="K354" s="2">
        <f>IFERROR(INDEX('_Цены_закупки'!$B:$B;MATCH(C354;'_Цены_закупки'!$A:$A;0));"")</f>
        <v/>
      </c>
      <c r="L354" s="2" t="n"/>
      <c r="M354" s="2" t="n"/>
      <c r="N354" s="3">
        <f>IF(AND(M354&gt;0;L354&gt;0);1-L354/M354;"")</f>
        <v/>
      </c>
      <c r="O354" s="2">
        <f>IF(OR(Q354="";K354=0);"";(K354+IF(AM354&gt;0;AM354;'_Настройки'!$B$9)+AP354+AC354+Q354*K354)/(1-AH354-AD354))</f>
        <v/>
      </c>
      <c r="P354" s="2">
        <f>IF(O354="";"";O354-K354-O354*AH354-O354*AD354-IF(AM354&gt;0;AM354;'_Настройки'!$B$9)-AP354-AC354)</f>
        <v/>
      </c>
      <c r="Q354" s="3">
        <f>IF(AND(O354&gt;0;K354&gt;0);P354/K354;"")</f>
        <v/>
      </c>
      <c r="R354" s="2">
        <f>IF(O354="";"";O354-K354-O354*AK354-O354*AD354-IF(AM354&gt;0;AM354;'_Настройки'!$B$9)-AP354-AC354)</f>
        <v/>
      </c>
      <c r="S354" s="3">
        <f>IF(AND(O354&gt;0;K354&gt;0);R354/K354;"")</f>
        <v/>
      </c>
      <c r="T354" s="2" t="n"/>
      <c r="U354" s="3">
        <f>IF(AND(L354&gt;0;T354&gt;0);1-T354/L354;"")</f>
        <v/>
      </c>
      <c r="V354" s="3">
        <f>'_Настройки'!$B$4</f>
        <v/>
      </c>
      <c r="Z354" s="4">
        <f>IF(AND(W354&gt;0;X354&gt;0;Y354&gt;0);W354*X354*Y354/1000;"")</f>
        <v/>
      </c>
      <c r="AB354" s="2">
        <f>('_Настройки'!$B$6+MAX(0;Z354-1)*'_Настройки'!$B$7)*IF(AA354&gt;0;AA354;'_Настройки'!$B$10)</f>
        <v/>
      </c>
      <c r="AC354" s="2">
        <f>AB354*(1+'_Настройки'!$B$8)</f>
        <v/>
      </c>
      <c r="AD354" s="3">
        <f>'_Настройки'!$B$2</f>
        <v/>
      </c>
      <c r="AE354" s="2">
        <f>L354*AD354</f>
        <v/>
      </c>
      <c r="AF354" s="3">
        <f>'_Настройки'!$B$3</f>
        <v/>
      </c>
      <c r="AG354" s="3">
        <f>IFERROR(INDEX('_Комиссия_ВБ'!$B:$B;MATCH(C354;'_Комиссия_ВБ'!$A:$A;0));0,245)</f>
        <v/>
      </c>
      <c r="AH354" s="3">
        <f>AG354+AF354</f>
        <v/>
      </c>
      <c r="AI354" s="2">
        <f>L354*AH354</f>
        <v/>
      </c>
      <c r="AJ354" s="3">
        <f>IFERROR(INDEX('_Комиссия_ВБ'!$C:$C;MATCH(C354;'_Комиссия_ВБ'!$A:$A;0));0,28)</f>
        <v/>
      </c>
      <c r="AK354" s="3">
        <f>AJ354+AF354</f>
        <v/>
      </c>
      <c r="AL354" s="2">
        <f>L354*AK354</f>
        <v/>
      </c>
      <c r="AM354" s="2" t="n"/>
      <c r="AO354" s="3">
        <f>'_Настройки'!$B$5</f>
        <v/>
      </c>
      <c r="AP354" s="2">
        <f>IF(K354&gt;0;K354*AO354;0)</f>
        <v/>
      </c>
      <c r="AQ354" s="2">
        <f>L354-K354-AI354-AE354-IF(AM354&gt;0;AM354;'_Настройки'!$B$9)-AP354-AC354</f>
        <v/>
      </c>
      <c r="AR354" s="3">
        <f>IF(L354&gt;0;AQ354/L354;"")</f>
        <v/>
      </c>
      <c r="AS354" s="3">
        <f>IF(K354&gt;0;AQ354/K354;"")</f>
        <v/>
      </c>
      <c r="AT354" s="2">
        <f>L354-K354-AL354-AE354-IF(AM354&gt;0;AM354;'_Настройки'!$B$9)-AP354-AC354</f>
        <v/>
      </c>
      <c r="AU354" s="3">
        <f>IF(L354&gt;0;AT354/L354;"")</f>
        <v/>
      </c>
      <c r="AV354" s="3">
        <f>IF(K354&gt;0;AT354/K354;"")</f>
        <v/>
      </c>
    </row>
    <row r="355">
      <c r="A355">
        <f>ROW()-1</f>
        <v/>
      </c>
      <c r="K355" s="2">
        <f>IFERROR(INDEX('_Цены_закупки'!$B:$B;MATCH(C355;'_Цены_закупки'!$A:$A;0));"")</f>
        <v/>
      </c>
      <c r="L355" s="2" t="n"/>
      <c r="M355" s="2" t="n"/>
      <c r="N355" s="3">
        <f>IF(AND(M355&gt;0;L355&gt;0);1-L355/M355;"")</f>
        <v/>
      </c>
      <c r="O355" s="2">
        <f>IF(OR(Q355="";K355=0);"";(K355+IF(AM355&gt;0;AM355;'_Настройки'!$B$9)+AP355+AC355+Q355*K355)/(1-AH355-AD355))</f>
        <v/>
      </c>
      <c r="P355" s="2">
        <f>IF(O355="";"";O355-K355-O355*AH355-O355*AD355-IF(AM355&gt;0;AM355;'_Настройки'!$B$9)-AP355-AC355)</f>
        <v/>
      </c>
      <c r="Q355" s="3">
        <f>IF(AND(O355&gt;0;K355&gt;0);P355/K355;"")</f>
        <v/>
      </c>
      <c r="R355" s="2">
        <f>IF(O355="";"";O355-K355-O355*AK355-O355*AD355-IF(AM355&gt;0;AM355;'_Настройки'!$B$9)-AP355-AC355)</f>
        <v/>
      </c>
      <c r="S355" s="3">
        <f>IF(AND(O355&gt;0;K355&gt;0);R355/K355;"")</f>
        <v/>
      </c>
      <c r="T355" s="2" t="n"/>
      <c r="U355" s="3">
        <f>IF(AND(L355&gt;0;T355&gt;0);1-T355/L355;"")</f>
        <v/>
      </c>
      <c r="V355" s="3">
        <f>'_Настройки'!$B$4</f>
        <v/>
      </c>
      <c r="Z355" s="4">
        <f>IF(AND(W355&gt;0;X355&gt;0;Y355&gt;0);W355*X355*Y355/1000;"")</f>
        <v/>
      </c>
      <c r="AB355" s="2">
        <f>('_Настройки'!$B$6+MAX(0;Z355-1)*'_Настройки'!$B$7)*IF(AA355&gt;0;AA355;'_Настройки'!$B$10)</f>
        <v/>
      </c>
      <c r="AC355" s="2">
        <f>AB355*(1+'_Настройки'!$B$8)</f>
        <v/>
      </c>
      <c r="AD355" s="3">
        <f>'_Настройки'!$B$2</f>
        <v/>
      </c>
      <c r="AE355" s="2">
        <f>L355*AD355</f>
        <v/>
      </c>
      <c r="AF355" s="3">
        <f>'_Настройки'!$B$3</f>
        <v/>
      </c>
      <c r="AG355" s="3">
        <f>IFERROR(INDEX('_Комиссия_ВБ'!$B:$B;MATCH(C355;'_Комиссия_ВБ'!$A:$A;0));0,245)</f>
        <v/>
      </c>
      <c r="AH355" s="3">
        <f>AG355+AF355</f>
        <v/>
      </c>
      <c r="AI355" s="2">
        <f>L355*AH355</f>
        <v/>
      </c>
      <c r="AJ355" s="3">
        <f>IFERROR(INDEX('_Комиссия_ВБ'!$C:$C;MATCH(C355;'_Комиссия_ВБ'!$A:$A;0));0,28)</f>
        <v/>
      </c>
      <c r="AK355" s="3">
        <f>AJ355+AF355</f>
        <v/>
      </c>
      <c r="AL355" s="2">
        <f>L355*AK355</f>
        <v/>
      </c>
      <c r="AM355" s="2" t="n"/>
      <c r="AO355" s="3">
        <f>'_Настройки'!$B$5</f>
        <v/>
      </c>
      <c r="AP355" s="2">
        <f>IF(K355&gt;0;K355*AO355;0)</f>
        <v/>
      </c>
      <c r="AQ355" s="2">
        <f>L355-K355-AI355-AE355-IF(AM355&gt;0;AM355;'_Настройки'!$B$9)-AP355-AC355</f>
        <v/>
      </c>
      <c r="AR355" s="3">
        <f>IF(L355&gt;0;AQ355/L355;"")</f>
        <v/>
      </c>
      <c r="AS355" s="3">
        <f>IF(K355&gt;0;AQ355/K355;"")</f>
        <v/>
      </c>
      <c r="AT355" s="2">
        <f>L355-K355-AL355-AE355-IF(AM355&gt;0;AM355;'_Настройки'!$B$9)-AP355-AC355</f>
        <v/>
      </c>
      <c r="AU355" s="3">
        <f>IF(L355&gt;0;AT355/L355;"")</f>
        <v/>
      </c>
      <c r="AV355" s="3">
        <f>IF(K355&gt;0;AT355/K355;"")</f>
        <v/>
      </c>
    </row>
    <row r="356">
      <c r="A356">
        <f>ROW()-1</f>
        <v/>
      </c>
      <c r="K356" s="2">
        <f>IFERROR(INDEX('_Цены_закупки'!$B:$B;MATCH(C356;'_Цены_закупки'!$A:$A;0));"")</f>
        <v/>
      </c>
      <c r="L356" s="2" t="n"/>
      <c r="M356" s="2" t="n"/>
      <c r="N356" s="3">
        <f>IF(AND(M356&gt;0;L356&gt;0);1-L356/M356;"")</f>
        <v/>
      </c>
      <c r="O356" s="2">
        <f>IF(OR(Q356="";K356=0);"";(K356+IF(AM356&gt;0;AM356;'_Настройки'!$B$9)+AP356+AC356+Q356*K356)/(1-AH356-AD356))</f>
        <v/>
      </c>
      <c r="P356" s="2">
        <f>IF(O356="";"";O356-K356-O356*AH356-O356*AD356-IF(AM356&gt;0;AM356;'_Настройки'!$B$9)-AP356-AC356)</f>
        <v/>
      </c>
      <c r="Q356" s="3">
        <f>IF(AND(O356&gt;0;K356&gt;0);P356/K356;"")</f>
        <v/>
      </c>
      <c r="R356" s="2">
        <f>IF(O356="";"";O356-K356-O356*AK356-O356*AD356-IF(AM356&gt;0;AM356;'_Настройки'!$B$9)-AP356-AC356)</f>
        <v/>
      </c>
      <c r="S356" s="3">
        <f>IF(AND(O356&gt;0;K356&gt;0);R356/K356;"")</f>
        <v/>
      </c>
      <c r="T356" s="2" t="n"/>
      <c r="U356" s="3">
        <f>IF(AND(L356&gt;0;T356&gt;0);1-T356/L356;"")</f>
        <v/>
      </c>
      <c r="V356" s="3">
        <f>'_Настройки'!$B$4</f>
        <v/>
      </c>
      <c r="Z356" s="4">
        <f>IF(AND(W356&gt;0;X356&gt;0;Y356&gt;0);W356*X356*Y356/1000;"")</f>
        <v/>
      </c>
      <c r="AB356" s="2">
        <f>('_Настройки'!$B$6+MAX(0;Z356-1)*'_Настройки'!$B$7)*IF(AA356&gt;0;AA356;'_Настройки'!$B$10)</f>
        <v/>
      </c>
      <c r="AC356" s="2">
        <f>AB356*(1+'_Настройки'!$B$8)</f>
        <v/>
      </c>
      <c r="AD356" s="3">
        <f>'_Настройки'!$B$2</f>
        <v/>
      </c>
      <c r="AE356" s="2">
        <f>L356*AD356</f>
        <v/>
      </c>
      <c r="AF356" s="3">
        <f>'_Настройки'!$B$3</f>
        <v/>
      </c>
      <c r="AG356" s="3">
        <f>IFERROR(INDEX('_Комиссия_ВБ'!$B:$B;MATCH(C356;'_Комиссия_ВБ'!$A:$A;0));0,245)</f>
        <v/>
      </c>
      <c r="AH356" s="3">
        <f>AG356+AF356</f>
        <v/>
      </c>
      <c r="AI356" s="2">
        <f>L356*AH356</f>
        <v/>
      </c>
      <c r="AJ356" s="3">
        <f>IFERROR(INDEX('_Комиссия_ВБ'!$C:$C;MATCH(C356;'_Комиссия_ВБ'!$A:$A;0));0,28)</f>
        <v/>
      </c>
      <c r="AK356" s="3">
        <f>AJ356+AF356</f>
        <v/>
      </c>
      <c r="AL356" s="2">
        <f>L356*AK356</f>
        <v/>
      </c>
      <c r="AM356" s="2" t="n"/>
      <c r="AO356" s="3">
        <f>'_Настройки'!$B$5</f>
        <v/>
      </c>
      <c r="AP356" s="2">
        <f>IF(K356&gt;0;K356*AO356;0)</f>
        <v/>
      </c>
      <c r="AQ356" s="2">
        <f>L356-K356-AI356-AE356-IF(AM356&gt;0;AM356;'_Настройки'!$B$9)-AP356-AC356</f>
        <v/>
      </c>
      <c r="AR356" s="3">
        <f>IF(L356&gt;0;AQ356/L356;"")</f>
        <v/>
      </c>
      <c r="AS356" s="3">
        <f>IF(K356&gt;0;AQ356/K356;"")</f>
        <v/>
      </c>
      <c r="AT356" s="2">
        <f>L356-K356-AL356-AE356-IF(AM356&gt;0;AM356;'_Настройки'!$B$9)-AP356-AC356</f>
        <v/>
      </c>
      <c r="AU356" s="3">
        <f>IF(L356&gt;0;AT356/L356;"")</f>
        <v/>
      </c>
      <c r="AV356" s="3">
        <f>IF(K356&gt;0;AT356/K356;"")</f>
        <v/>
      </c>
    </row>
    <row r="357">
      <c r="A357">
        <f>ROW()-1</f>
        <v/>
      </c>
      <c r="K357" s="2">
        <f>IFERROR(INDEX('_Цены_закупки'!$B:$B;MATCH(C357;'_Цены_закупки'!$A:$A;0));"")</f>
        <v/>
      </c>
      <c r="L357" s="2" t="n"/>
      <c r="M357" s="2" t="n"/>
      <c r="N357" s="3">
        <f>IF(AND(M357&gt;0;L357&gt;0);1-L357/M357;"")</f>
        <v/>
      </c>
      <c r="O357" s="2">
        <f>IF(OR(Q357="";K357=0);"";(K357+IF(AM357&gt;0;AM357;'_Настройки'!$B$9)+AP357+AC357+Q357*K357)/(1-AH357-AD357))</f>
        <v/>
      </c>
      <c r="P357" s="2">
        <f>IF(O357="";"";O357-K357-O357*AH357-O357*AD357-IF(AM357&gt;0;AM357;'_Настройки'!$B$9)-AP357-AC357)</f>
        <v/>
      </c>
      <c r="Q357" s="3">
        <f>IF(AND(O357&gt;0;K357&gt;0);P357/K357;"")</f>
        <v/>
      </c>
      <c r="R357" s="2">
        <f>IF(O357="";"";O357-K357-O357*AK357-O357*AD357-IF(AM357&gt;0;AM357;'_Настройки'!$B$9)-AP357-AC357)</f>
        <v/>
      </c>
      <c r="S357" s="3">
        <f>IF(AND(O357&gt;0;K357&gt;0);R357/K357;"")</f>
        <v/>
      </c>
      <c r="T357" s="2" t="n"/>
      <c r="U357" s="3">
        <f>IF(AND(L357&gt;0;T357&gt;0);1-T357/L357;"")</f>
        <v/>
      </c>
      <c r="V357" s="3">
        <f>'_Настройки'!$B$4</f>
        <v/>
      </c>
      <c r="Z357" s="4">
        <f>IF(AND(W357&gt;0;X357&gt;0;Y357&gt;0);W357*X357*Y357/1000;"")</f>
        <v/>
      </c>
      <c r="AB357" s="2">
        <f>('_Настройки'!$B$6+MAX(0;Z357-1)*'_Настройки'!$B$7)*IF(AA357&gt;0;AA357;'_Настройки'!$B$10)</f>
        <v/>
      </c>
      <c r="AC357" s="2">
        <f>AB357*(1+'_Настройки'!$B$8)</f>
        <v/>
      </c>
      <c r="AD357" s="3">
        <f>'_Настройки'!$B$2</f>
        <v/>
      </c>
      <c r="AE357" s="2">
        <f>L357*AD357</f>
        <v/>
      </c>
      <c r="AF357" s="3">
        <f>'_Настройки'!$B$3</f>
        <v/>
      </c>
      <c r="AG357" s="3">
        <f>IFERROR(INDEX('_Комиссия_ВБ'!$B:$B;MATCH(C357;'_Комиссия_ВБ'!$A:$A;0));0,245)</f>
        <v/>
      </c>
      <c r="AH357" s="3">
        <f>AG357+AF357</f>
        <v/>
      </c>
      <c r="AI357" s="2">
        <f>L357*AH357</f>
        <v/>
      </c>
      <c r="AJ357" s="3">
        <f>IFERROR(INDEX('_Комиссия_ВБ'!$C:$C;MATCH(C357;'_Комиссия_ВБ'!$A:$A;0));0,28)</f>
        <v/>
      </c>
      <c r="AK357" s="3">
        <f>AJ357+AF357</f>
        <v/>
      </c>
      <c r="AL357" s="2">
        <f>L357*AK357</f>
        <v/>
      </c>
      <c r="AM357" s="2" t="n"/>
      <c r="AO357" s="3">
        <f>'_Настройки'!$B$5</f>
        <v/>
      </c>
      <c r="AP357" s="2">
        <f>IF(K357&gt;0;K357*AO357;0)</f>
        <v/>
      </c>
      <c r="AQ357" s="2">
        <f>L357-K357-AI357-AE357-IF(AM357&gt;0;AM357;'_Настройки'!$B$9)-AP357-AC357</f>
        <v/>
      </c>
      <c r="AR357" s="3">
        <f>IF(L357&gt;0;AQ357/L357;"")</f>
        <v/>
      </c>
      <c r="AS357" s="3">
        <f>IF(K357&gt;0;AQ357/K357;"")</f>
        <v/>
      </c>
      <c r="AT357" s="2">
        <f>L357-K357-AL357-AE357-IF(AM357&gt;0;AM357;'_Настройки'!$B$9)-AP357-AC357</f>
        <v/>
      </c>
      <c r="AU357" s="3">
        <f>IF(L357&gt;0;AT357/L357;"")</f>
        <v/>
      </c>
      <c r="AV357" s="3">
        <f>IF(K357&gt;0;AT357/K357;"")</f>
        <v/>
      </c>
    </row>
    <row r="358">
      <c r="A358">
        <f>ROW()-1</f>
        <v/>
      </c>
      <c r="K358" s="2">
        <f>IFERROR(INDEX('_Цены_закупки'!$B:$B;MATCH(C358;'_Цены_закупки'!$A:$A;0));"")</f>
        <v/>
      </c>
      <c r="L358" s="2" t="n"/>
      <c r="M358" s="2" t="n"/>
      <c r="N358" s="3">
        <f>IF(AND(M358&gt;0;L358&gt;0);1-L358/M358;"")</f>
        <v/>
      </c>
      <c r="O358" s="2">
        <f>IF(OR(Q358="";K358=0);"";(K358+IF(AM358&gt;0;AM358;'_Настройки'!$B$9)+AP358+AC358+Q358*K358)/(1-AH358-AD358))</f>
        <v/>
      </c>
      <c r="P358" s="2">
        <f>IF(O358="";"";O358-K358-O358*AH358-O358*AD358-IF(AM358&gt;0;AM358;'_Настройки'!$B$9)-AP358-AC358)</f>
        <v/>
      </c>
      <c r="Q358" s="3">
        <f>IF(AND(O358&gt;0;K358&gt;0);P358/K358;"")</f>
        <v/>
      </c>
      <c r="R358" s="2">
        <f>IF(O358="";"";O358-K358-O358*AK358-O358*AD358-IF(AM358&gt;0;AM358;'_Настройки'!$B$9)-AP358-AC358)</f>
        <v/>
      </c>
      <c r="S358" s="3">
        <f>IF(AND(O358&gt;0;K358&gt;0);R358/K358;"")</f>
        <v/>
      </c>
      <c r="T358" s="2" t="n"/>
      <c r="U358" s="3">
        <f>IF(AND(L358&gt;0;T358&gt;0);1-T358/L358;"")</f>
        <v/>
      </c>
      <c r="V358" s="3">
        <f>'_Настройки'!$B$4</f>
        <v/>
      </c>
      <c r="Z358" s="4">
        <f>IF(AND(W358&gt;0;X358&gt;0;Y358&gt;0);W358*X358*Y358/1000;"")</f>
        <v/>
      </c>
      <c r="AB358" s="2">
        <f>('_Настройки'!$B$6+MAX(0;Z358-1)*'_Настройки'!$B$7)*IF(AA358&gt;0;AA358;'_Настройки'!$B$10)</f>
        <v/>
      </c>
      <c r="AC358" s="2">
        <f>AB358*(1+'_Настройки'!$B$8)</f>
        <v/>
      </c>
      <c r="AD358" s="3">
        <f>'_Настройки'!$B$2</f>
        <v/>
      </c>
      <c r="AE358" s="2">
        <f>L358*AD358</f>
        <v/>
      </c>
      <c r="AF358" s="3">
        <f>'_Настройки'!$B$3</f>
        <v/>
      </c>
      <c r="AG358" s="3">
        <f>IFERROR(INDEX('_Комиссия_ВБ'!$B:$B;MATCH(C358;'_Комиссия_ВБ'!$A:$A;0));0,245)</f>
        <v/>
      </c>
      <c r="AH358" s="3">
        <f>AG358+AF358</f>
        <v/>
      </c>
      <c r="AI358" s="2">
        <f>L358*AH358</f>
        <v/>
      </c>
      <c r="AJ358" s="3">
        <f>IFERROR(INDEX('_Комиссия_ВБ'!$C:$C;MATCH(C358;'_Комиссия_ВБ'!$A:$A;0));0,28)</f>
        <v/>
      </c>
      <c r="AK358" s="3">
        <f>AJ358+AF358</f>
        <v/>
      </c>
      <c r="AL358" s="2">
        <f>L358*AK358</f>
        <v/>
      </c>
      <c r="AM358" s="2" t="n"/>
      <c r="AO358" s="3">
        <f>'_Настройки'!$B$5</f>
        <v/>
      </c>
      <c r="AP358" s="2">
        <f>IF(K358&gt;0;K358*AO358;0)</f>
        <v/>
      </c>
      <c r="AQ358" s="2">
        <f>L358-K358-AI358-AE358-IF(AM358&gt;0;AM358;'_Настройки'!$B$9)-AP358-AC358</f>
        <v/>
      </c>
      <c r="AR358" s="3">
        <f>IF(L358&gt;0;AQ358/L358;"")</f>
        <v/>
      </c>
      <c r="AS358" s="3">
        <f>IF(K358&gt;0;AQ358/K358;"")</f>
        <v/>
      </c>
      <c r="AT358" s="2">
        <f>L358-K358-AL358-AE358-IF(AM358&gt;0;AM358;'_Настройки'!$B$9)-AP358-AC358</f>
        <v/>
      </c>
      <c r="AU358" s="3">
        <f>IF(L358&gt;0;AT358/L358;"")</f>
        <v/>
      </c>
      <c r="AV358" s="3">
        <f>IF(K358&gt;0;AT358/K358;"")</f>
        <v/>
      </c>
    </row>
    <row r="359">
      <c r="A359">
        <f>ROW()-1</f>
        <v/>
      </c>
      <c r="K359" s="2">
        <f>IFERROR(INDEX('_Цены_закупки'!$B:$B;MATCH(C359;'_Цены_закупки'!$A:$A;0));"")</f>
        <v/>
      </c>
      <c r="L359" s="2" t="n"/>
      <c r="M359" s="2" t="n"/>
      <c r="N359" s="3">
        <f>IF(AND(M359&gt;0;L359&gt;0);1-L359/M359;"")</f>
        <v/>
      </c>
      <c r="O359" s="2">
        <f>IF(OR(Q359="";K359=0);"";(K359+IF(AM359&gt;0;AM359;'_Настройки'!$B$9)+AP359+AC359+Q359*K359)/(1-AH359-AD359))</f>
        <v/>
      </c>
      <c r="P359" s="2">
        <f>IF(O359="";"";O359-K359-O359*AH359-O359*AD359-IF(AM359&gt;0;AM359;'_Настройки'!$B$9)-AP359-AC359)</f>
        <v/>
      </c>
      <c r="Q359" s="3">
        <f>IF(AND(O359&gt;0;K359&gt;0);P359/K359;"")</f>
        <v/>
      </c>
      <c r="R359" s="2">
        <f>IF(O359="";"";O359-K359-O359*AK359-O359*AD359-IF(AM359&gt;0;AM359;'_Настройки'!$B$9)-AP359-AC359)</f>
        <v/>
      </c>
      <c r="S359" s="3">
        <f>IF(AND(O359&gt;0;K359&gt;0);R359/K359;"")</f>
        <v/>
      </c>
      <c r="T359" s="2" t="n"/>
      <c r="U359" s="3">
        <f>IF(AND(L359&gt;0;T359&gt;0);1-T359/L359;"")</f>
        <v/>
      </c>
      <c r="V359" s="3">
        <f>'_Настройки'!$B$4</f>
        <v/>
      </c>
      <c r="Z359" s="4">
        <f>IF(AND(W359&gt;0;X359&gt;0;Y359&gt;0);W359*X359*Y359/1000;"")</f>
        <v/>
      </c>
      <c r="AB359" s="2">
        <f>('_Настройки'!$B$6+MAX(0;Z359-1)*'_Настройки'!$B$7)*IF(AA359&gt;0;AA359;'_Настройки'!$B$10)</f>
        <v/>
      </c>
      <c r="AC359" s="2">
        <f>AB359*(1+'_Настройки'!$B$8)</f>
        <v/>
      </c>
      <c r="AD359" s="3">
        <f>'_Настройки'!$B$2</f>
        <v/>
      </c>
      <c r="AE359" s="2">
        <f>L359*AD359</f>
        <v/>
      </c>
      <c r="AF359" s="3">
        <f>'_Настройки'!$B$3</f>
        <v/>
      </c>
      <c r="AG359" s="3">
        <f>IFERROR(INDEX('_Комиссия_ВБ'!$B:$B;MATCH(C359;'_Комиссия_ВБ'!$A:$A;0));0,245)</f>
        <v/>
      </c>
      <c r="AH359" s="3">
        <f>AG359+AF359</f>
        <v/>
      </c>
      <c r="AI359" s="2">
        <f>L359*AH359</f>
        <v/>
      </c>
      <c r="AJ359" s="3">
        <f>IFERROR(INDEX('_Комиссия_ВБ'!$C:$C;MATCH(C359;'_Комиссия_ВБ'!$A:$A;0));0,28)</f>
        <v/>
      </c>
      <c r="AK359" s="3">
        <f>AJ359+AF359</f>
        <v/>
      </c>
      <c r="AL359" s="2">
        <f>L359*AK359</f>
        <v/>
      </c>
      <c r="AM359" s="2" t="n"/>
      <c r="AO359" s="3">
        <f>'_Настройки'!$B$5</f>
        <v/>
      </c>
      <c r="AP359" s="2">
        <f>IF(K359&gt;0;K359*AO359;0)</f>
        <v/>
      </c>
      <c r="AQ359" s="2">
        <f>L359-K359-AI359-AE359-IF(AM359&gt;0;AM359;'_Настройки'!$B$9)-AP359-AC359</f>
        <v/>
      </c>
      <c r="AR359" s="3">
        <f>IF(L359&gt;0;AQ359/L359;"")</f>
        <v/>
      </c>
      <c r="AS359" s="3">
        <f>IF(K359&gt;0;AQ359/K359;"")</f>
        <v/>
      </c>
      <c r="AT359" s="2">
        <f>L359-K359-AL359-AE359-IF(AM359&gt;0;AM359;'_Настройки'!$B$9)-AP359-AC359</f>
        <v/>
      </c>
      <c r="AU359" s="3">
        <f>IF(L359&gt;0;AT359/L359;"")</f>
        <v/>
      </c>
      <c r="AV359" s="3">
        <f>IF(K359&gt;0;AT359/K359;"")</f>
        <v/>
      </c>
    </row>
    <row r="360">
      <c r="A360">
        <f>ROW()-1</f>
        <v/>
      </c>
      <c r="K360" s="2">
        <f>IFERROR(INDEX('_Цены_закупки'!$B:$B;MATCH(C360;'_Цены_закупки'!$A:$A;0));"")</f>
        <v/>
      </c>
      <c r="L360" s="2" t="n"/>
      <c r="M360" s="2" t="n"/>
      <c r="N360" s="3">
        <f>IF(AND(M360&gt;0;L360&gt;0);1-L360/M360;"")</f>
        <v/>
      </c>
      <c r="O360" s="2">
        <f>IF(OR(Q360="";K360=0);"";(K360+IF(AM360&gt;0;AM360;'_Настройки'!$B$9)+AP360+AC360+Q360*K360)/(1-AH360-AD360))</f>
        <v/>
      </c>
      <c r="P360" s="2">
        <f>IF(O360="";"";O360-K360-O360*AH360-O360*AD360-IF(AM360&gt;0;AM360;'_Настройки'!$B$9)-AP360-AC360)</f>
        <v/>
      </c>
      <c r="Q360" s="3">
        <f>IF(AND(O360&gt;0;K360&gt;0);P360/K360;"")</f>
        <v/>
      </c>
      <c r="R360" s="2">
        <f>IF(O360="";"";O360-K360-O360*AK360-O360*AD360-IF(AM360&gt;0;AM360;'_Настройки'!$B$9)-AP360-AC360)</f>
        <v/>
      </c>
      <c r="S360" s="3">
        <f>IF(AND(O360&gt;0;K360&gt;0);R360/K360;"")</f>
        <v/>
      </c>
      <c r="T360" s="2" t="n"/>
      <c r="U360" s="3">
        <f>IF(AND(L360&gt;0;T360&gt;0);1-T360/L360;"")</f>
        <v/>
      </c>
      <c r="V360" s="3">
        <f>'_Настройки'!$B$4</f>
        <v/>
      </c>
      <c r="Z360" s="4">
        <f>IF(AND(W360&gt;0;X360&gt;0;Y360&gt;0);W360*X360*Y360/1000;"")</f>
        <v/>
      </c>
      <c r="AB360" s="2">
        <f>('_Настройки'!$B$6+MAX(0;Z360-1)*'_Настройки'!$B$7)*IF(AA360&gt;0;AA360;'_Настройки'!$B$10)</f>
        <v/>
      </c>
      <c r="AC360" s="2">
        <f>AB360*(1+'_Настройки'!$B$8)</f>
        <v/>
      </c>
      <c r="AD360" s="3">
        <f>'_Настройки'!$B$2</f>
        <v/>
      </c>
      <c r="AE360" s="2">
        <f>L360*AD360</f>
        <v/>
      </c>
      <c r="AF360" s="3">
        <f>'_Настройки'!$B$3</f>
        <v/>
      </c>
      <c r="AG360" s="3">
        <f>IFERROR(INDEX('_Комиссия_ВБ'!$B:$B;MATCH(C360;'_Комиссия_ВБ'!$A:$A;0));0,245)</f>
        <v/>
      </c>
      <c r="AH360" s="3">
        <f>AG360+AF360</f>
        <v/>
      </c>
      <c r="AI360" s="2">
        <f>L360*AH360</f>
        <v/>
      </c>
      <c r="AJ360" s="3">
        <f>IFERROR(INDEX('_Комиссия_ВБ'!$C:$C;MATCH(C360;'_Комиссия_ВБ'!$A:$A;0));0,28)</f>
        <v/>
      </c>
      <c r="AK360" s="3">
        <f>AJ360+AF360</f>
        <v/>
      </c>
      <c r="AL360" s="2">
        <f>L360*AK360</f>
        <v/>
      </c>
      <c r="AM360" s="2" t="n"/>
      <c r="AO360" s="3">
        <f>'_Настройки'!$B$5</f>
        <v/>
      </c>
      <c r="AP360" s="2">
        <f>IF(K360&gt;0;K360*AO360;0)</f>
        <v/>
      </c>
      <c r="AQ360" s="2">
        <f>L360-K360-AI360-AE360-IF(AM360&gt;0;AM360;'_Настройки'!$B$9)-AP360-AC360</f>
        <v/>
      </c>
      <c r="AR360" s="3">
        <f>IF(L360&gt;0;AQ360/L360;"")</f>
        <v/>
      </c>
      <c r="AS360" s="3">
        <f>IF(K360&gt;0;AQ360/K360;"")</f>
        <v/>
      </c>
      <c r="AT360" s="2">
        <f>L360-K360-AL360-AE360-IF(AM360&gt;0;AM360;'_Настройки'!$B$9)-AP360-AC360</f>
        <v/>
      </c>
      <c r="AU360" s="3">
        <f>IF(L360&gt;0;AT360/L360;"")</f>
        <v/>
      </c>
      <c r="AV360" s="3">
        <f>IF(K360&gt;0;AT360/K360;"")</f>
        <v/>
      </c>
    </row>
    <row r="361">
      <c r="A361">
        <f>ROW()-1</f>
        <v/>
      </c>
      <c r="K361" s="2">
        <f>IFERROR(INDEX('_Цены_закупки'!$B:$B;MATCH(C361;'_Цены_закупки'!$A:$A;0));"")</f>
        <v/>
      </c>
      <c r="L361" s="2" t="n"/>
      <c r="M361" s="2" t="n"/>
      <c r="N361" s="3">
        <f>IF(AND(M361&gt;0;L361&gt;0);1-L361/M361;"")</f>
        <v/>
      </c>
      <c r="O361" s="2">
        <f>IF(OR(Q361="";K361=0);"";(K361+IF(AM361&gt;0;AM361;'_Настройки'!$B$9)+AP361+AC361+Q361*K361)/(1-AH361-AD361))</f>
        <v/>
      </c>
      <c r="P361" s="2">
        <f>IF(O361="";"";O361-K361-O361*AH361-O361*AD361-IF(AM361&gt;0;AM361;'_Настройки'!$B$9)-AP361-AC361)</f>
        <v/>
      </c>
      <c r="Q361" s="3">
        <f>IF(AND(O361&gt;0;K361&gt;0);P361/K361;"")</f>
        <v/>
      </c>
      <c r="R361" s="2">
        <f>IF(O361="";"";O361-K361-O361*AK361-O361*AD361-IF(AM361&gt;0;AM361;'_Настройки'!$B$9)-AP361-AC361)</f>
        <v/>
      </c>
      <c r="S361" s="3">
        <f>IF(AND(O361&gt;0;K361&gt;0);R361/K361;"")</f>
        <v/>
      </c>
      <c r="T361" s="2" t="n"/>
      <c r="U361" s="3">
        <f>IF(AND(L361&gt;0;T361&gt;0);1-T361/L361;"")</f>
        <v/>
      </c>
      <c r="V361" s="3">
        <f>'_Настройки'!$B$4</f>
        <v/>
      </c>
      <c r="Z361" s="4">
        <f>IF(AND(W361&gt;0;X361&gt;0;Y361&gt;0);W361*X361*Y361/1000;"")</f>
        <v/>
      </c>
      <c r="AB361" s="2">
        <f>('_Настройки'!$B$6+MAX(0;Z361-1)*'_Настройки'!$B$7)*IF(AA361&gt;0;AA361;'_Настройки'!$B$10)</f>
        <v/>
      </c>
      <c r="AC361" s="2">
        <f>AB361*(1+'_Настройки'!$B$8)</f>
        <v/>
      </c>
      <c r="AD361" s="3">
        <f>'_Настройки'!$B$2</f>
        <v/>
      </c>
      <c r="AE361" s="2">
        <f>L361*AD361</f>
        <v/>
      </c>
      <c r="AF361" s="3">
        <f>'_Настройки'!$B$3</f>
        <v/>
      </c>
      <c r="AG361" s="3">
        <f>IFERROR(INDEX('_Комиссия_ВБ'!$B:$B;MATCH(C361;'_Комиссия_ВБ'!$A:$A;0));0,245)</f>
        <v/>
      </c>
      <c r="AH361" s="3">
        <f>AG361+AF361</f>
        <v/>
      </c>
      <c r="AI361" s="2">
        <f>L361*AH361</f>
        <v/>
      </c>
      <c r="AJ361" s="3">
        <f>IFERROR(INDEX('_Комиссия_ВБ'!$C:$C;MATCH(C361;'_Комиссия_ВБ'!$A:$A;0));0,28)</f>
        <v/>
      </c>
      <c r="AK361" s="3">
        <f>AJ361+AF361</f>
        <v/>
      </c>
      <c r="AL361" s="2">
        <f>L361*AK361</f>
        <v/>
      </c>
      <c r="AM361" s="2" t="n"/>
      <c r="AO361" s="3">
        <f>'_Настройки'!$B$5</f>
        <v/>
      </c>
      <c r="AP361" s="2">
        <f>IF(K361&gt;0;K361*AO361;0)</f>
        <v/>
      </c>
      <c r="AQ361" s="2">
        <f>L361-K361-AI361-AE361-IF(AM361&gt;0;AM361;'_Настройки'!$B$9)-AP361-AC361</f>
        <v/>
      </c>
      <c r="AR361" s="3">
        <f>IF(L361&gt;0;AQ361/L361;"")</f>
        <v/>
      </c>
      <c r="AS361" s="3">
        <f>IF(K361&gt;0;AQ361/K361;"")</f>
        <v/>
      </c>
      <c r="AT361" s="2">
        <f>L361-K361-AL361-AE361-IF(AM361&gt;0;AM361;'_Настройки'!$B$9)-AP361-AC361</f>
        <v/>
      </c>
      <c r="AU361" s="3">
        <f>IF(L361&gt;0;AT361/L361;"")</f>
        <v/>
      </c>
      <c r="AV361" s="3">
        <f>IF(K361&gt;0;AT361/K361;"")</f>
        <v/>
      </c>
    </row>
    <row r="362">
      <c r="A362">
        <f>ROW()-1</f>
        <v/>
      </c>
      <c r="K362" s="2">
        <f>IFERROR(INDEX('_Цены_закупки'!$B:$B;MATCH(C362;'_Цены_закупки'!$A:$A;0));"")</f>
        <v/>
      </c>
      <c r="L362" s="2" t="n"/>
      <c r="M362" s="2" t="n"/>
      <c r="N362" s="3">
        <f>IF(AND(M362&gt;0;L362&gt;0);1-L362/M362;"")</f>
        <v/>
      </c>
      <c r="O362" s="2">
        <f>IF(OR(Q362="";K362=0);"";(K362+IF(AM362&gt;0;AM362;'_Настройки'!$B$9)+AP362+AC362+Q362*K362)/(1-AH362-AD362))</f>
        <v/>
      </c>
      <c r="P362" s="2">
        <f>IF(O362="";"";O362-K362-O362*AH362-O362*AD362-IF(AM362&gt;0;AM362;'_Настройки'!$B$9)-AP362-AC362)</f>
        <v/>
      </c>
      <c r="Q362" s="3">
        <f>IF(AND(O362&gt;0;K362&gt;0);P362/K362;"")</f>
        <v/>
      </c>
      <c r="R362" s="2">
        <f>IF(O362="";"";O362-K362-O362*AK362-O362*AD362-IF(AM362&gt;0;AM362;'_Настройки'!$B$9)-AP362-AC362)</f>
        <v/>
      </c>
      <c r="S362" s="3">
        <f>IF(AND(O362&gt;0;K362&gt;0);R362/K362;"")</f>
        <v/>
      </c>
      <c r="T362" s="2" t="n"/>
      <c r="U362" s="3">
        <f>IF(AND(L362&gt;0;T362&gt;0);1-T362/L362;"")</f>
        <v/>
      </c>
      <c r="V362" s="3">
        <f>'_Настройки'!$B$4</f>
        <v/>
      </c>
      <c r="Z362" s="4">
        <f>IF(AND(W362&gt;0;X362&gt;0;Y362&gt;0);W362*X362*Y362/1000;"")</f>
        <v/>
      </c>
      <c r="AB362" s="2">
        <f>('_Настройки'!$B$6+MAX(0;Z362-1)*'_Настройки'!$B$7)*IF(AA362&gt;0;AA362;'_Настройки'!$B$10)</f>
        <v/>
      </c>
      <c r="AC362" s="2">
        <f>AB362*(1+'_Настройки'!$B$8)</f>
        <v/>
      </c>
      <c r="AD362" s="3">
        <f>'_Настройки'!$B$2</f>
        <v/>
      </c>
      <c r="AE362" s="2">
        <f>L362*AD362</f>
        <v/>
      </c>
      <c r="AF362" s="3">
        <f>'_Настройки'!$B$3</f>
        <v/>
      </c>
      <c r="AG362" s="3">
        <f>IFERROR(INDEX('_Комиссия_ВБ'!$B:$B;MATCH(C362;'_Комиссия_ВБ'!$A:$A;0));0,245)</f>
        <v/>
      </c>
      <c r="AH362" s="3">
        <f>AG362+AF362</f>
        <v/>
      </c>
      <c r="AI362" s="2">
        <f>L362*AH362</f>
        <v/>
      </c>
      <c r="AJ362" s="3">
        <f>IFERROR(INDEX('_Комиссия_ВБ'!$C:$C;MATCH(C362;'_Комиссия_ВБ'!$A:$A;0));0,28)</f>
        <v/>
      </c>
      <c r="AK362" s="3">
        <f>AJ362+AF362</f>
        <v/>
      </c>
      <c r="AL362" s="2">
        <f>L362*AK362</f>
        <v/>
      </c>
      <c r="AM362" s="2" t="n"/>
      <c r="AO362" s="3">
        <f>'_Настройки'!$B$5</f>
        <v/>
      </c>
      <c r="AP362" s="2">
        <f>IF(K362&gt;0;K362*AO362;0)</f>
        <v/>
      </c>
      <c r="AQ362" s="2">
        <f>L362-K362-AI362-AE362-IF(AM362&gt;0;AM362;'_Настройки'!$B$9)-AP362-AC362</f>
        <v/>
      </c>
      <c r="AR362" s="3">
        <f>IF(L362&gt;0;AQ362/L362;"")</f>
        <v/>
      </c>
      <c r="AS362" s="3">
        <f>IF(K362&gt;0;AQ362/K362;"")</f>
        <v/>
      </c>
      <c r="AT362" s="2">
        <f>L362-K362-AL362-AE362-IF(AM362&gt;0;AM362;'_Настройки'!$B$9)-AP362-AC362</f>
        <v/>
      </c>
      <c r="AU362" s="3">
        <f>IF(L362&gt;0;AT362/L362;"")</f>
        <v/>
      </c>
      <c r="AV362" s="3">
        <f>IF(K362&gt;0;AT362/K362;"")</f>
        <v/>
      </c>
    </row>
    <row r="363">
      <c r="A363">
        <f>ROW()-1</f>
        <v/>
      </c>
      <c r="K363" s="2">
        <f>IFERROR(INDEX('_Цены_закупки'!$B:$B;MATCH(C363;'_Цены_закупки'!$A:$A;0));"")</f>
        <v/>
      </c>
      <c r="L363" s="2" t="n"/>
      <c r="M363" s="2" t="n"/>
      <c r="N363" s="3">
        <f>IF(AND(M363&gt;0;L363&gt;0);1-L363/M363;"")</f>
        <v/>
      </c>
      <c r="O363" s="2">
        <f>IF(OR(Q363="";K363=0);"";(K363+IF(AM363&gt;0;AM363;'_Настройки'!$B$9)+AP363+AC363+Q363*K363)/(1-AH363-AD363))</f>
        <v/>
      </c>
      <c r="P363" s="2">
        <f>IF(O363="";"";O363-K363-O363*AH363-O363*AD363-IF(AM363&gt;0;AM363;'_Настройки'!$B$9)-AP363-AC363)</f>
        <v/>
      </c>
      <c r="Q363" s="3">
        <f>IF(AND(O363&gt;0;K363&gt;0);P363/K363;"")</f>
        <v/>
      </c>
      <c r="R363" s="2">
        <f>IF(O363="";"";O363-K363-O363*AK363-O363*AD363-IF(AM363&gt;0;AM363;'_Настройки'!$B$9)-AP363-AC363)</f>
        <v/>
      </c>
      <c r="S363" s="3">
        <f>IF(AND(O363&gt;0;K363&gt;0);R363/K363;"")</f>
        <v/>
      </c>
      <c r="T363" s="2" t="n"/>
      <c r="U363" s="3">
        <f>IF(AND(L363&gt;0;T363&gt;0);1-T363/L363;"")</f>
        <v/>
      </c>
      <c r="V363" s="3">
        <f>'_Настройки'!$B$4</f>
        <v/>
      </c>
      <c r="Z363" s="4">
        <f>IF(AND(W363&gt;0;X363&gt;0;Y363&gt;0);W363*X363*Y363/1000;"")</f>
        <v/>
      </c>
      <c r="AB363" s="2">
        <f>('_Настройки'!$B$6+MAX(0;Z363-1)*'_Настройки'!$B$7)*IF(AA363&gt;0;AA363;'_Настройки'!$B$10)</f>
        <v/>
      </c>
      <c r="AC363" s="2">
        <f>AB363*(1+'_Настройки'!$B$8)</f>
        <v/>
      </c>
      <c r="AD363" s="3">
        <f>'_Настройки'!$B$2</f>
        <v/>
      </c>
      <c r="AE363" s="2">
        <f>L363*AD363</f>
        <v/>
      </c>
      <c r="AF363" s="3">
        <f>'_Настройки'!$B$3</f>
        <v/>
      </c>
      <c r="AG363" s="3">
        <f>IFERROR(INDEX('_Комиссия_ВБ'!$B:$B;MATCH(C363;'_Комиссия_ВБ'!$A:$A;0));0,245)</f>
        <v/>
      </c>
      <c r="AH363" s="3">
        <f>AG363+AF363</f>
        <v/>
      </c>
      <c r="AI363" s="2">
        <f>L363*AH363</f>
        <v/>
      </c>
      <c r="AJ363" s="3">
        <f>IFERROR(INDEX('_Комиссия_ВБ'!$C:$C;MATCH(C363;'_Комиссия_ВБ'!$A:$A;0));0,28)</f>
        <v/>
      </c>
      <c r="AK363" s="3">
        <f>AJ363+AF363</f>
        <v/>
      </c>
      <c r="AL363" s="2">
        <f>L363*AK363</f>
        <v/>
      </c>
      <c r="AM363" s="2" t="n"/>
      <c r="AO363" s="3">
        <f>'_Настройки'!$B$5</f>
        <v/>
      </c>
      <c r="AP363" s="2">
        <f>IF(K363&gt;0;K363*AO363;0)</f>
        <v/>
      </c>
      <c r="AQ363" s="2">
        <f>L363-K363-AI363-AE363-IF(AM363&gt;0;AM363;'_Настройки'!$B$9)-AP363-AC363</f>
        <v/>
      </c>
      <c r="AR363" s="3">
        <f>IF(L363&gt;0;AQ363/L363;"")</f>
        <v/>
      </c>
      <c r="AS363" s="3">
        <f>IF(K363&gt;0;AQ363/K363;"")</f>
        <v/>
      </c>
      <c r="AT363" s="2">
        <f>L363-K363-AL363-AE363-IF(AM363&gt;0;AM363;'_Настройки'!$B$9)-AP363-AC363</f>
        <v/>
      </c>
      <c r="AU363" s="3">
        <f>IF(L363&gt;0;AT363/L363;"")</f>
        <v/>
      </c>
      <c r="AV363" s="3">
        <f>IF(K363&gt;0;AT363/K363;"")</f>
        <v/>
      </c>
    </row>
    <row r="364">
      <c r="A364">
        <f>ROW()-1</f>
        <v/>
      </c>
      <c r="K364" s="2">
        <f>IFERROR(INDEX('_Цены_закупки'!$B:$B;MATCH(C364;'_Цены_закупки'!$A:$A;0));"")</f>
        <v/>
      </c>
      <c r="L364" s="2" t="n"/>
      <c r="M364" s="2" t="n"/>
      <c r="N364" s="3">
        <f>IF(AND(M364&gt;0;L364&gt;0);1-L364/M364;"")</f>
        <v/>
      </c>
      <c r="O364" s="2">
        <f>IF(OR(Q364="";K364=0);"";(K364+IF(AM364&gt;0;AM364;'_Настройки'!$B$9)+AP364+AC364+Q364*K364)/(1-AH364-AD364))</f>
        <v/>
      </c>
      <c r="P364" s="2">
        <f>IF(O364="";"";O364-K364-O364*AH364-O364*AD364-IF(AM364&gt;0;AM364;'_Настройки'!$B$9)-AP364-AC364)</f>
        <v/>
      </c>
      <c r="Q364" s="3">
        <f>IF(AND(O364&gt;0;K364&gt;0);P364/K364;"")</f>
        <v/>
      </c>
      <c r="R364" s="2">
        <f>IF(O364="";"";O364-K364-O364*AK364-O364*AD364-IF(AM364&gt;0;AM364;'_Настройки'!$B$9)-AP364-AC364)</f>
        <v/>
      </c>
      <c r="S364" s="3">
        <f>IF(AND(O364&gt;0;K364&gt;0);R364/K364;"")</f>
        <v/>
      </c>
      <c r="T364" s="2" t="n"/>
      <c r="U364" s="3">
        <f>IF(AND(L364&gt;0;T364&gt;0);1-T364/L364;"")</f>
        <v/>
      </c>
      <c r="V364" s="3">
        <f>'_Настройки'!$B$4</f>
        <v/>
      </c>
      <c r="Z364" s="4">
        <f>IF(AND(W364&gt;0;X364&gt;0;Y364&gt;0);W364*X364*Y364/1000;"")</f>
        <v/>
      </c>
      <c r="AB364" s="2">
        <f>('_Настройки'!$B$6+MAX(0;Z364-1)*'_Настройки'!$B$7)*IF(AA364&gt;0;AA364;'_Настройки'!$B$10)</f>
        <v/>
      </c>
      <c r="AC364" s="2">
        <f>AB364*(1+'_Настройки'!$B$8)</f>
        <v/>
      </c>
      <c r="AD364" s="3">
        <f>'_Настройки'!$B$2</f>
        <v/>
      </c>
      <c r="AE364" s="2">
        <f>L364*AD364</f>
        <v/>
      </c>
      <c r="AF364" s="3">
        <f>'_Настройки'!$B$3</f>
        <v/>
      </c>
      <c r="AG364" s="3">
        <f>IFERROR(INDEX('_Комиссия_ВБ'!$B:$B;MATCH(C364;'_Комиссия_ВБ'!$A:$A;0));0,245)</f>
        <v/>
      </c>
      <c r="AH364" s="3">
        <f>AG364+AF364</f>
        <v/>
      </c>
      <c r="AI364" s="2">
        <f>L364*AH364</f>
        <v/>
      </c>
      <c r="AJ364" s="3">
        <f>IFERROR(INDEX('_Комиссия_ВБ'!$C:$C;MATCH(C364;'_Комиссия_ВБ'!$A:$A;0));0,28)</f>
        <v/>
      </c>
      <c r="AK364" s="3">
        <f>AJ364+AF364</f>
        <v/>
      </c>
      <c r="AL364" s="2">
        <f>L364*AK364</f>
        <v/>
      </c>
      <c r="AM364" s="2" t="n"/>
      <c r="AO364" s="3">
        <f>'_Настройки'!$B$5</f>
        <v/>
      </c>
      <c r="AP364" s="2">
        <f>IF(K364&gt;0;K364*AO364;0)</f>
        <v/>
      </c>
      <c r="AQ364" s="2">
        <f>L364-K364-AI364-AE364-IF(AM364&gt;0;AM364;'_Настройки'!$B$9)-AP364-AC364</f>
        <v/>
      </c>
      <c r="AR364" s="3">
        <f>IF(L364&gt;0;AQ364/L364;"")</f>
        <v/>
      </c>
      <c r="AS364" s="3">
        <f>IF(K364&gt;0;AQ364/K364;"")</f>
        <v/>
      </c>
      <c r="AT364" s="2">
        <f>L364-K364-AL364-AE364-IF(AM364&gt;0;AM364;'_Настройки'!$B$9)-AP364-AC364</f>
        <v/>
      </c>
      <c r="AU364" s="3">
        <f>IF(L364&gt;0;AT364/L364;"")</f>
        <v/>
      </c>
      <c r="AV364" s="3">
        <f>IF(K364&gt;0;AT364/K364;"")</f>
        <v/>
      </c>
    </row>
    <row r="365">
      <c r="A365">
        <f>ROW()-1</f>
        <v/>
      </c>
      <c r="K365" s="2">
        <f>IFERROR(INDEX('_Цены_закупки'!$B:$B;MATCH(C365;'_Цены_закупки'!$A:$A;0));"")</f>
        <v/>
      </c>
      <c r="L365" s="2" t="n"/>
      <c r="M365" s="2" t="n"/>
      <c r="N365" s="3">
        <f>IF(AND(M365&gt;0;L365&gt;0);1-L365/M365;"")</f>
        <v/>
      </c>
      <c r="O365" s="2">
        <f>IF(OR(Q365="";K365=0);"";(K365+IF(AM365&gt;0;AM365;'_Настройки'!$B$9)+AP365+AC365+Q365*K365)/(1-AH365-AD365))</f>
        <v/>
      </c>
      <c r="P365" s="2">
        <f>IF(O365="";"";O365-K365-O365*AH365-O365*AD365-IF(AM365&gt;0;AM365;'_Настройки'!$B$9)-AP365-AC365)</f>
        <v/>
      </c>
      <c r="Q365" s="3">
        <f>IF(AND(O365&gt;0;K365&gt;0);P365/K365;"")</f>
        <v/>
      </c>
      <c r="R365" s="2">
        <f>IF(O365="";"";O365-K365-O365*AK365-O365*AD365-IF(AM365&gt;0;AM365;'_Настройки'!$B$9)-AP365-AC365)</f>
        <v/>
      </c>
      <c r="S365" s="3">
        <f>IF(AND(O365&gt;0;K365&gt;0);R365/K365;"")</f>
        <v/>
      </c>
      <c r="T365" s="2" t="n"/>
      <c r="U365" s="3">
        <f>IF(AND(L365&gt;0;T365&gt;0);1-T365/L365;"")</f>
        <v/>
      </c>
      <c r="V365" s="3">
        <f>'_Настройки'!$B$4</f>
        <v/>
      </c>
      <c r="Z365" s="4">
        <f>IF(AND(W365&gt;0;X365&gt;0;Y365&gt;0);W365*X365*Y365/1000;"")</f>
        <v/>
      </c>
      <c r="AB365" s="2">
        <f>('_Настройки'!$B$6+MAX(0;Z365-1)*'_Настройки'!$B$7)*IF(AA365&gt;0;AA365;'_Настройки'!$B$10)</f>
        <v/>
      </c>
      <c r="AC365" s="2">
        <f>AB365*(1+'_Настройки'!$B$8)</f>
        <v/>
      </c>
      <c r="AD365" s="3">
        <f>'_Настройки'!$B$2</f>
        <v/>
      </c>
      <c r="AE365" s="2">
        <f>L365*AD365</f>
        <v/>
      </c>
      <c r="AF365" s="3">
        <f>'_Настройки'!$B$3</f>
        <v/>
      </c>
      <c r="AG365" s="3">
        <f>IFERROR(INDEX('_Комиссия_ВБ'!$B:$B;MATCH(C365;'_Комиссия_ВБ'!$A:$A;0));0,245)</f>
        <v/>
      </c>
      <c r="AH365" s="3">
        <f>AG365+AF365</f>
        <v/>
      </c>
      <c r="AI365" s="2">
        <f>L365*AH365</f>
        <v/>
      </c>
      <c r="AJ365" s="3">
        <f>IFERROR(INDEX('_Комиссия_ВБ'!$C:$C;MATCH(C365;'_Комиссия_ВБ'!$A:$A;0));0,28)</f>
        <v/>
      </c>
      <c r="AK365" s="3">
        <f>AJ365+AF365</f>
        <v/>
      </c>
      <c r="AL365" s="2">
        <f>L365*AK365</f>
        <v/>
      </c>
      <c r="AM365" s="2" t="n"/>
      <c r="AO365" s="3">
        <f>'_Настройки'!$B$5</f>
        <v/>
      </c>
      <c r="AP365" s="2">
        <f>IF(K365&gt;0;K365*AO365;0)</f>
        <v/>
      </c>
      <c r="AQ365" s="2">
        <f>L365-K365-AI365-AE365-IF(AM365&gt;0;AM365;'_Настройки'!$B$9)-AP365-AC365</f>
        <v/>
      </c>
      <c r="AR365" s="3">
        <f>IF(L365&gt;0;AQ365/L365;"")</f>
        <v/>
      </c>
      <c r="AS365" s="3">
        <f>IF(K365&gt;0;AQ365/K365;"")</f>
        <v/>
      </c>
      <c r="AT365" s="2">
        <f>L365-K365-AL365-AE365-IF(AM365&gt;0;AM365;'_Настройки'!$B$9)-AP365-AC365</f>
        <v/>
      </c>
      <c r="AU365" s="3">
        <f>IF(L365&gt;0;AT365/L365;"")</f>
        <v/>
      </c>
      <c r="AV365" s="3">
        <f>IF(K365&gt;0;AT365/K365;"")</f>
        <v/>
      </c>
    </row>
    <row r="366">
      <c r="A366">
        <f>ROW()-1</f>
        <v/>
      </c>
      <c r="K366" s="2">
        <f>IFERROR(INDEX('_Цены_закупки'!$B:$B;MATCH(C366;'_Цены_закупки'!$A:$A;0));"")</f>
        <v/>
      </c>
      <c r="L366" s="2" t="n"/>
      <c r="M366" s="2" t="n"/>
      <c r="N366" s="3">
        <f>IF(AND(M366&gt;0;L366&gt;0);1-L366/M366;"")</f>
        <v/>
      </c>
      <c r="O366" s="2">
        <f>IF(OR(Q366="";K366=0);"";(K366+IF(AM366&gt;0;AM366;'_Настройки'!$B$9)+AP366+AC366+Q366*K366)/(1-AH366-AD366))</f>
        <v/>
      </c>
      <c r="P366" s="2">
        <f>IF(O366="";"";O366-K366-O366*AH366-O366*AD366-IF(AM366&gt;0;AM366;'_Настройки'!$B$9)-AP366-AC366)</f>
        <v/>
      </c>
      <c r="Q366" s="3">
        <f>IF(AND(O366&gt;0;K366&gt;0);P366/K366;"")</f>
        <v/>
      </c>
      <c r="R366" s="2">
        <f>IF(O366="";"";O366-K366-O366*AK366-O366*AD366-IF(AM366&gt;0;AM366;'_Настройки'!$B$9)-AP366-AC366)</f>
        <v/>
      </c>
      <c r="S366" s="3">
        <f>IF(AND(O366&gt;0;K366&gt;0);R366/K366;"")</f>
        <v/>
      </c>
      <c r="T366" s="2" t="n"/>
      <c r="U366" s="3">
        <f>IF(AND(L366&gt;0;T366&gt;0);1-T366/L366;"")</f>
        <v/>
      </c>
      <c r="V366" s="3">
        <f>'_Настройки'!$B$4</f>
        <v/>
      </c>
      <c r="Z366" s="4">
        <f>IF(AND(W366&gt;0;X366&gt;0;Y366&gt;0);W366*X366*Y366/1000;"")</f>
        <v/>
      </c>
      <c r="AB366" s="2">
        <f>('_Настройки'!$B$6+MAX(0;Z366-1)*'_Настройки'!$B$7)*IF(AA366&gt;0;AA366;'_Настройки'!$B$10)</f>
        <v/>
      </c>
      <c r="AC366" s="2">
        <f>AB366*(1+'_Настройки'!$B$8)</f>
        <v/>
      </c>
      <c r="AD366" s="3">
        <f>'_Настройки'!$B$2</f>
        <v/>
      </c>
      <c r="AE366" s="2">
        <f>L366*AD366</f>
        <v/>
      </c>
      <c r="AF366" s="3">
        <f>'_Настройки'!$B$3</f>
        <v/>
      </c>
      <c r="AG366" s="3">
        <f>IFERROR(INDEX('_Комиссия_ВБ'!$B:$B;MATCH(C366;'_Комиссия_ВБ'!$A:$A;0));0,245)</f>
        <v/>
      </c>
      <c r="AH366" s="3">
        <f>AG366+AF366</f>
        <v/>
      </c>
      <c r="AI366" s="2">
        <f>L366*AH366</f>
        <v/>
      </c>
      <c r="AJ366" s="3">
        <f>IFERROR(INDEX('_Комиссия_ВБ'!$C:$C;MATCH(C366;'_Комиссия_ВБ'!$A:$A;0));0,28)</f>
        <v/>
      </c>
      <c r="AK366" s="3">
        <f>AJ366+AF366</f>
        <v/>
      </c>
      <c r="AL366" s="2">
        <f>L366*AK366</f>
        <v/>
      </c>
      <c r="AM366" s="2" t="n"/>
      <c r="AO366" s="3">
        <f>'_Настройки'!$B$5</f>
        <v/>
      </c>
      <c r="AP366" s="2">
        <f>IF(K366&gt;0;K366*AO366;0)</f>
        <v/>
      </c>
      <c r="AQ366" s="2">
        <f>L366-K366-AI366-AE366-IF(AM366&gt;0;AM366;'_Настройки'!$B$9)-AP366-AC366</f>
        <v/>
      </c>
      <c r="AR366" s="3">
        <f>IF(L366&gt;0;AQ366/L366;"")</f>
        <v/>
      </c>
      <c r="AS366" s="3">
        <f>IF(K366&gt;0;AQ366/K366;"")</f>
        <v/>
      </c>
      <c r="AT366" s="2">
        <f>L366-K366-AL366-AE366-IF(AM366&gt;0;AM366;'_Настройки'!$B$9)-AP366-AC366</f>
        <v/>
      </c>
      <c r="AU366" s="3">
        <f>IF(L366&gt;0;AT366/L366;"")</f>
        <v/>
      </c>
      <c r="AV366" s="3">
        <f>IF(K366&gt;0;AT366/K366;"")</f>
        <v/>
      </c>
    </row>
    <row r="367">
      <c r="A367">
        <f>ROW()-1</f>
        <v/>
      </c>
      <c r="K367" s="2">
        <f>IFERROR(INDEX('_Цены_закупки'!$B:$B;MATCH(C367;'_Цены_закупки'!$A:$A;0));"")</f>
        <v/>
      </c>
      <c r="L367" s="2" t="n"/>
      <c r="M367" s="2" t="n"/>
      <c r="N367" s="3">
        <f>IF(AND(M367&gt;0;L367&gt;0);1-L367/M367;"")</f>
        <v/>
      </c>
      <c r="O367" s="2">
        <f>IF(OR(Q367="";K367=0);"";(K367+IF(AM367&gt;0;AM367;'_Настройки'!$B$9)+AP367+AC367+Q367*K367)/(1-AH367-AD367))</f>
        <v/>
      </c>
      <c r="P367" s="2">
        <f>IF(O367="";"";O367-K367-O367*AH367-O367*AD367-IF(AM367&gt;0;AM367;'_Настройки'!$B$9)-AP367-AC367)</f>
        <v/>
      </c>
      <c r="Q367" s="3">
        <f>IF(AND(O367&gt;0;K367&gt;0);P367/K367;"")</f>
        <v/>
      </c>
      <c r="R367" s="2">
        <f>IF(O367="";"";O367-K367-O367*AK367-O367*AD367-IF(AM367&gt;0;AM367;'_Настройки'!$B$9)-AP367-AC367)</f>
        <v/>
      </c>
      <c r="S367" s="3">
        <f>IF(AND(O367&gt;0;K367&gt;0);R367/K367;"")</f>
        <v/>
      </c>
      <c r="T367" s="2" t="n"/>
      <c r="U367" s="3">
        <f>IF(AND(L367&gt;0;T367&gt;0);1-T367/L367;"")</f>
        <v/>
      </c>
      <c r="V367" s="3">
        <f>'_Настройки'!$B$4</f>
        <v/>
      </c>
      <c r="Z367" s="4">
        <f>IF(AND(W367&gt;0;X367&gt;0;Y367&gt;0);W367*X367*Y367/1000;"")</f>
        <v/>
      </c>
      <c r="AB367" s="2">
        <f>('_Настройки'!$B$6+MAX(0;Z367-1)*'_Настройки'!$B$7)*IF(AA367&gt;0;AA367;'_Настройки'!$B$10)</f>
        <v/>
      </c>
      <c r="AC367" s="2">
        <f>AB367*(1+'_Настройки'!$B$8)</f>
        <v/>
      </c>
      <c r="AD367" s="3">
        <f>'_Настройки'!$B$2</f>
        <v/>
      </c>
      <c r="AE367" s="2">
        <f>L367*AD367</f>
        <v/>
      </c>
      <c r="AF367" s="3">
        <f>'_Настройки'!$B$3</f>
        <v/>
      </c>
      <c r="AG367" s="3">
        <f>IFERROR(INDEX('_Комиссия_ВБ'!$B:$B;MATCH(C367;'_Комиссия_ВБ'!$A:$A;0));0,245)</f>
        <v/>
      </c>
      <c r="AH367" s="3">
        <f>AG367+AF367</f>
        <v/>
      </c>
      <c r="AI367" s="2">
        <f>L367*AH367</f>
        <v/>
      </c>
      <c r="AJ367" s="3">
        <f>IFERROR(INDEX('_Комиссия_ВБ'!$C:$C;MATCH(C367;'_Комиссия_ВБ'!$A:$A;0));0,28)</f>
        <v/>
      </c>
      <c r="AK367" s="3">
        <f>AJ367+AF367</f>
        <v/>
      </c>
      <c r="AL367" s="2">
        <f>L367*AK367</f>
        <v/>
      </c>
      <c r="AM367" s="2" t="n"/>
      <c r="AO367" s="3">
        <f>'_Настройки'!$B$5</f>
        <v/>
      </c>
      <c r="AP367" s="2">
        <f>IF(K367&gt;0;K367*AO367;0)</f>
        <v/>
      </c>
      <c r="AQ367" s="2">
        <f>L367-K367-AI367-AE367-IF(AM367&gt;0;AM367;'_Настройки'!$B$9)-AP367-AC367</f>
        <v/>
      </c>
      <c r="AR367" s="3">
        <f>IF(L367&gt;0;AQ367/L367;"")</f>
        <v/>
      </c>
      <c r="AS367" s="3">
        <f>IF(K367&gt;0;AQ367/K367;"")</f>
        <v/>
      </c>
      <c r="AT367" s="2">
        <f>L367-K367-AL367-AE367-IF(AM367&gt;0;AM367;'_Настройки'!$B$9)-AP367-AC367</f>
        <v/>
      </c>
      <c r="AU367" s="3">
        <f>IF(L367&gt;0;AT367/L367;"")</f>
        <v/>
      </c>
      <c r="AV367" s="3">
        <f>IF(K367&gt;0;AT367/K367;"")</f>
        <v/>
      </c>
    </row>
    <row r="368">
      <c r="A368">
        <f>ROW()-1</f>
        <v/>
      </c>
      <c r="K368" s="2">
        <f>IFERROR(INDEX('_Цены_закупки'!$B:$B;MATCH(C368;'_Цены_закупки'!$A:$A;0));"")</f>
        <v/>
      </c>
      <c r="L368" s="2" t="n"/>
      <c r="M368" s="2" t="n"/>
      <c r="N368" s="3">
        <f>IF(AND(M368&gt;0;L368&gt;0);1-L368/M368;"")</f>
        <v/>
      </c>
      <c r="O368" s="2">
        <f>IF(OR(Q368="";K368=0);"";(K368+IF(AM368&gt;0;AM368;'_Настройки'!$B$9)+AP368+AC368+Q368*K368)/(1-AH368-AD368))</f>
        <v/>
      </c>
      <c r="P368" s="2">
        <f>IF(O368="";"";O368-K368-O368*AH368-O368*AD368-IF(AM368&gt;0;AM368;'_Настройки'!$B$9)-AP368-AC368)</f>
        <v/>
      </c>
      <c r="Q368" s="3">
        <f>IF(AND(O368&gt;0;K368&gt;0);P368/K368;"")</f>
        <v/>
      </c>
      <c r="R368" s="2">
        <f>IF(O368="";"";O368-K368-O368*AK368-O368*AD368-IF(AM368&gt;0;AM368;'_Настройки'!$B$9)-AP368-AC368)</f>
        <v/>
      </c>
      <c r="S368" s="3">
        <f>IF(AND(O368&gt;0;K368&gt;0);R368/K368;"")</f>
        <v/>
      </c>
      <c r="T368" s="2" t="n"/>
      <c r="U368" s="3">
        <f>IF(AND(L368&gt;0;T368&gt;0);1-T368/L368;"")</f>
        <v/>
      </c>
      <c r="V368" s="3">
        <f>'_Настройки'!$B$4</f>
        <v/>
      </c>
      <c r="Z368" s="4">
        <f>IF(AND(W368&gt;0;X368&gt;0;Y368&gt;0);W368*X368*Y368/1000;"")</f>
        <v/>
      </c>
      <c r="AB368" s="2">
        <f>('_Настройки'!$B$6+MAX(0;Z368-1)*'_Настройки'!$B$7)*IF(AA368&gt;0;AA368;'_Настройки'!$B$10)</f>
        <v/>
      </c>
      <c r="AC368" s="2">
        <f>AB368*(1+'_Настройки'!$B$8)</f>
        <v/>
      </c>
      <c r="AD368" s="3">
        <f>'_Настройки'!$B$2</f>
        <v/>
      </c>
      <c r="AE368" s="2">
        <f>L368*AD368</f>
        <v/>
      </c>
      <c r="AF368" s="3">
        <f>'_Настройки'!$B$3</f>
        <v/>
      </c>
      <c r="AG368" s="3">
        <f>IFERROR(INDEX('_Комиссия_ВБ'!$B:$B;MATCH(C368;'_Комиссия_ВБ'!$A:$A;0));0,245)</f>
        <v/>
      </c>
      <c r="AH368" s="3">
        <f>AG368+AF368</f>
        <v/>
      </c>
      <c r="AI368" s="2">
        <f>L368*AH368</f>
        <v/>
      </c>
      <c r="AJ368" s="3">
        <f>IFERROR(INDEX('_Комиссия_ВБ'!$C:$C;MATCH(C368;'_Комиссия_ВБ'!$A:$A;0));0,28)</f>
        <v/>
      </c>
      <c r="AK368" s="3">
        <f>AJ368+AF368</f>
        <v/>
      </c>
      <c r="AL368" s="2">
        <f>L368*AK368</f>
        <v/>
      </c>
      <c r="AM368" s="2" t="n"/>
      <c r="AO368" s="3">
        <f>'_Настройки'!$B$5</f>
        <v/>
      </c>
      <c r="AP368" s="2">
        <f>IF(K368&gt;0;K368*AO368;0)</f>
        <v/>
      </c>
      <c r="AQ368" s="2">
        <f>L368-K368-AI368-AE368-IF(AM368&gt;0;AM368;'_Настройки'!$B$9)-AP368-AC368</f>
        <v/>
      </c>
      <c r="AR368" s="3">
        <f>IF(L368&gt;0;AQ368/L368;"")</f>
        <v/>
      </c>
      <c r="AS368" s="3">
        <f>IF(K368&gt;0;AQ368/K368;"")</f>
        <v/>
      </c>
      <c r="AT368" s="2">
        <f>L368-K368-AL368-AE368-IF(AM368&gt;0;AM368;'_Настройки'!$B$9)-AP368-AC368</f>
        <v/>
      </c>
      <c r="AU368" s="3">
        <f>IF(L368&gt;0;AT368/L368;"")</f>
        <v/>
      </c>
      <c r="AV368" s="3">
        <f>IF(K368&gt;0;AT368/K368;"")</f>
        <v/>
      </c>
    </row>
    <row r="369">
      <c r="A369">
        <f>ROW()-1</f>
        <v/>
      </c>
      <c r="K369" s="2">
        <f>IFERROR(INDEX('_Цены_закупки'!$B:$B;MATCH(C369;'_Цены_закупки'!$A:$A;0));"")</f>
        <v/>
      </c>
      <c r="L369" s="2" t="n"/>
      <c r="M369" s="2" t="n"/>
      <c r="N369" s="3">
        <f>IF(AND(M369&gt;0;L369&gt;0);1-L369/M369;"")</f>
        <v/>
      </c>
      <c r="O369" s="2">
        <f>IF(OR(Q369="";K369=0);"";(K369+IF(AM369&gt;0;AM369;'_Настройки'!$B$9)+AP369+AC369+Q369*K369)/(1-AH369-AD369))</f>
        <v/>
      </c>
      <c r="P369" s="2">
        <f>IF(O369="";"";O369-K369-O369*AH369-O369*AD369-IF(AM369&gt;0;AM369;'_Настройки'!$B$9)-AP369-AC369)</f>
        <v/>
      </c>
      <c r="Q369" s="3">
        <f>IF(AND(O369&gt;0;K369&gt;0);P369/K369;"")</f>
        <v/>
      </c>
      <c r="R369" s="2">
        <f>IF(O369="";"";O369-K369-O369*AK369-O369*AD369-IF(AM369&gt;0;AM369;'_Настройки'!$B$9)-AP369-AC369)</f>
        <v/>
      </c>
      <c r="S369" s="3">
        <f>IF(AND(O369&gt;0;K369&gt;0);R369/K369;"")</f>
        <v/>
      </c>
      <c r="T369" s="2" t="n"/>
      <c r="U369" s="3">
        <f>IF(AND(L369&gt;0;T369&gt;0);1-T369/L369;"")</f>
        <v/>
      </c>
      <c r="V369" s="3">
        <f>'_Настройки'!$B$4</f>
        <v/>
      </c>
      <c r="Z369" s="4">
        <f>IF(AND(W369&gt;0;X369&gt;0;Y369&gt;0);W369*X369*Y369/1000;"")</f>
        <v/>
      </c>
      <c r="AB369" s="2">
        <f>('_Настройки'!$B$6+MAX(0;Z369-1)*'_Настройки'!$B$7)*IF(AA369&gt;0;AA369;'_Настройки'!$B$10)</f>
        <v/>
      </c>
      <c r="AC369" s="2">
        <f>AB369*(1+'_Настройки'!$B$8)</f>
        <v/>
      </c>
      <c r="AD369" s="3">
        <f>'_Настройки'!$B$2</f>
        <v/>
      </c>
      <c r="AE369" s="2">
        <f>L369*AD369</f>
        <v/>
      </c>
      <c r="AF369" s="3">
        <f>'_Настройки'!$B$3</f>
        <v/>
      </c>
      <c r="AG369" s="3">
        <f>IFERROR(INDEX('_Комиссия_ВБ'!$B:$B;MATCH(C369;'_Комиссия_ВБ'!$A:$A;0));0,245)</f>
        <v/>
      </c>
      <c r="AH369" s="3">
        <f>AG369+AF369</f>
        <v/>
      </c>
      <c r="AI369" s="2">
        <f>L369*AH369</f>
        <v/>
      </c>
      <c r="AJ369" s="3">
        <f>IFERROR(INDEX('_Комиссия_ВБ'!$C:$C;MATCH(C369;'_Комиссия_ВБ'!$A:$A;0));0,28)</f>
        <v/>
      </c>
      <c r="AK369" s="3">
        <f>AJ369+AF369</f>
        <v/>
      </c>
      <c r="AL369" s="2">
        <f>L369*AK369</f>
        <v/>
      </c>
      <c r="AM369" s="2" t="n"/>
      <c r="AO369" s="3">
        <f>'_Настройки'!$B$5</f>
        <v/>
      </c>
      <c r="AP369" s="2">
        <f>IF(K369&gt;0;K369*AO369;0)</f>
        <v/>
      </c>
      <c r="AQ369" s="2">
        <f>L369-K369-AI369-AE369-IF(AM369&gt;0;AM369;'_Настройки'!$B$9)-AP369-AC369</f>
        <v/>
      </c>
      <c r="AR369" s="3">
        <f>IF(L369&gt;0;AQ369/L369;"")</f>
        <v/>
      </c>
      <c r="AS369" s="3">
        <f>IF(K369&gt;0;AQ369/K369;"")</f>
        <v/>
      </c>
      <c r="AT369" s="2">
        <f>L369-K369-AL369-AE369-IF(AM369&gt;0;AM369;'_Настройки'!$B$9)-AP369-AC369</f>
        <v/>
      </c>
      <c r="AU369" s="3">
        <f>IF(L369&gt;0;AT369/L369;"")</f>
        <v/>
      </c>
      <c r="AV369" s="3">
        <f>IF(K369&gt;0;AT369/K369;"")</f>
        <v/>
      </c>
    </row>
    <row r="370">
      <c r="A370">
        <f>ROW()-1</f>
        <v/>
      </c>
      <c r="K370" s="2">
        <f>IFERROR(INDEX('_Цены_закупки'!$B:$B;MATCH(C370;'_Цены_закупки'!$A:$A;0));"")</f>
        <v/>
      </c>
      <c r="L370" s="2" t="n"/>
      <c r="M370" s="2" t="n"/>
      <c r="N370" s="3">
        <f>IF(AND(M370&gt;0;L370&gt;0);1-L370/M370;"")</f>
        <v/>
      </c>
      <c r="O370" s="2">
        <f>IF(OR(Q370="";K370=0);"";(K370+IF(AM370&gt;0;AM370;'_Настройки'!$B$9)+AP370+AC370+Q370*K370)/(1-AH370-AD370))</f>
        <v/>
      </c>
      <c r="P370" s="2">
        <f>IF(O370="";"";O370-K370-O370*AH370-O370*AD370-IF(AM370&gt;0;AM370;'_Настройки'!$B$9)-AP370-AC370)</f>
        <v/>
      </c>
      <c r="Q370" s="3">
        <f>IF(AND(O370&gt;0;K370&gt;0);P370/K370;"")</f>
        <v/>
      </c>
      <c r="R370" s="2">
        <f>IF(O370="";"";O370-K370-O370*AK370-O370*AD370-IF(AM370&gt;0;AM370;'_Настройки'!$B$9)-AP370-AC370)</f>
        <v/>
      </c>
      <c r="S370" s="3">
        <f>IF(AND(O370&gt;0;K370&gt;0);R370/K370;"")</f>
        <v/>
      </c>
      <c r="T370" s="2" t="n"/>
      <c r="U370" s="3">
        <f>IF(AND(L370&gt;0;T370&gt;0);1-T370/L370;"")</f>
        <v/>
      </c>
      <c r="V370" s="3">
        <f>'_Настройки'!$B$4</f>
        <v/>
      </c>
      <c r="Z370" s="4">
        <f>IF(AND(W370&gt;0;X370&gt;0;Y370&gt;0);W370*X370*Y370/1000;"")</f>
        <v/>
      </c>
      <c r="AB370" s="2">
        <f>('_Настройки'!$B$6+MAX(0;Z370-1)*'_Настройки'!$B$7)*IF(AA370&gt;0;AA370;'_Настройки'!$B$10)</f>
        <v/>
      </c>
      <c r="AC370" s="2">
        <f>AB370*(1+'_Настройки'!$B$8)</f>
        <v/>
      </c>
      <c r="AD370" s="3">
        <f>'_Настройки'!$B$2</f>
        <v/>
      </c>
      <c r="AE370" s="2">
        <f>L370*AD370</f>
        <v/>
      </c>
      <c r="AF370" s="3">
        <f>'_Настройки'!$B$3</f>
        <v/>
      </c>
      <c r="AG370" s="3">
        <f>IFERROR(INDEX('_Комиссия_ВБ'!$B:$B;MATCH(C370;'_Комиссия_ВБ'!$A:$A;0));0,245)</f>
        <v/>
      </c>
      <c r="AH370" s="3">
        <f>AG370+AF370</f>
        <v/>
      </c>
      <c r="AI370" s="2">
        <f>L370*AH370</f>
        <v/>
      </c>
      <c r="AJ370" s="3">
        <f>IFERROR(INDEX('_Комиссия_ВБ'!$C:$C;MATCH(C370;'_Комиссия_ВБ'!$A:$A;0));0,28)</f>
        <v/>
      </c>
      <c r="AK370" s="3">
        <f>AJ370+AF370</f>
        <v/>
      </c>
      <c r="AL370" s="2">
        <f>L370*AK370</f>
        <v/>
      </c>
      <c r="AM370" s="2" t="n"/>
      <c r="AO370" s="3">
        <f>'_Настройки'!$B$5</f>
        <v/>
      </c>
      <c r="AP370" s="2">
        <f>IF(K370&gt;0;K370*AO370;0)</f>
        <v/>
      </c>
      <c r="AQ370" s="2">
        <f>L370-K370-AI370-AE370-IF(AM370&gt;0;AM370;'_Настройки'!$B$9)-AP370-AC370</f>
        <v/>
      </c>
      <c r="AR370" s="3">
        <f>IF(L370&gt;0;AQ370/L370;"")</f>
        <v/>
      </c>
      <c r="AS370" s="3">
        <f>IF(K370&gt;0;AQ370/K370;"")</f>
        <v/>
      </c>
      <c r="AT370" s="2">
        <f>L370-K370-AL370-AE370-IF(AM370&gt;0;AM370;'_Настройки'!$B$9)-AP370-AC370</f>
        <v/>
      </c>
      <c r="AU370" s="3">
        <f>IF(L370&gt;0;AT370/L370;"")</f>
        <v/>
      </c>
      <c r="AV370" s="3">
        <f>IF(K370&gt;0;AT370/K370;"")</f>
        <v/>
      </c>
    </row>
    <row r="371">
      <c r="A371">
        <f>ROW()-1</f>
        <v/>
      </c>
      <c r="K371" s="2">
        <f>IFERROR(INDEX('_Цены_закупки'!$B:$B;MATCH(C371;'_Цены_закупки'!$A:$A;0));"")</f>
        <v/>
      </c>
      <c r="L371" s="2" t="n"/>
      <c r="M371" s="2" t="n"/>
      <c r="N371" s="3">
        <f>IF(AND(M371&gt;0;L371&gt;0);1-L371/M371;"")</f>
        <v/>
      </c>
      <c r="O371" s="2">
        <f>IF(OR(Q371="";K371=0);"";(K371+IF(AM371&gt;0;AM371;'_Настройки'!$B$9)+AP371+AC371+Q371*K371)/(1-AH371-AD371))</f>
        <v/>
      </c>
      <c r="P371" s="2">
        <f>IF(O371="";"";O371-K371-O371*AH371-O371*AD371-IF(AM371&gt;0;AM371;'_Настройки'!$B$9)-AP371-AC371)</f>
        <v/>
      </c>
      <c r="Q371" s="3">
        <f>IF(AND(O371&gt;0;K371&gt;0);P371/K371;"")</f>
        <v/>
      </c>
      <c r="R371" s="2">
        <f>IF(O371="";"";O371-K371-O371*AK371-O371*AD371-IF(AM371&gt;0;AM371;'_Настройки'!$B$9)-AP371-AC371)</f>
        <v/>
      </c>
      <c r="S371" s="3">
        <f>IF(AND(O371&gt;0;K371&gt;0);R371/K371;"")</f>
        <v/>
      </c>
      <c r="T371" s="2" t="n"/>
      <c r="U371" s="3">
        <f>IF(AND(L371&gt;0;T371&gt;0);1-T371/L371;"")</f>
        <v/>
      </c>
      <c r="V371" s="3">
        <f>'_Настройки'!$B$4</f>
        <v/>
      </c>
      <c r="Z371" s="4">
        <f>IF(AND(W371&gt;0;X371&gt;0;Y371&gt;0);W371*X371*Y371/1000;"")</f>
        <v/>
      </c>
      <c r="AB371" s="2">
        <f>('_Настройки'!$B$6+MAX(0;Z371-1)*'_Настройки'!$B$7)*IF(AA371&gt;0;AA371;'_Настройки'!$B$10)</f>
        <v/>
      </c>
      <c r="AC371" s="2">
        <f>AB371*(1+'_Настройки'!$B$8)</f>
        <v/>
      </c>
      <c r="AD371" s="3">
        <f>'_Настройки'!$B$2</f>
        <v/>
      </c>
      <c r="AE371" s="2">
        <f>L371*AD371</f>
        <v/>
      </c>
      <c r="AF371" s="3">
        <f>'_Настройки'!$B$3</f>
        <v/>
      </c>
      <c r="AG371" s="3">
        <f>IFERROR(INDEX('_Комиссия_ВБ'!$B:$B;MATCH(C371;'_Комиссия_ВБ'!$A:$A;0));0,245)</f>
        <v/>
      </c>
      <c r="AH371" s="3">
        <f>AG371+AF371</f>
        <v/>
      </c>
      <c r="AI371" s="2">
        <f>L371*AH371</f>
        <v/>
      </c>
      <c r="AJ371" s="3">
        <f>IFERROR(INDEX('_Комиссия_ВБ'!$C:$C;MATCH(C371;'_Комиссия_ВБ'!$A:$A;0));0,28)</f>
        <v/>
      </c>
      <c r="AK371" s="3">
        <f>AJ371+AF371</f>
        <v/>
      </c>
      <c r="AL371" s="2">
        <f>L371*AK371</f>
        <v/>
      </c>
      <c r="AM371" s="2" t="n"/>
      <c r="AO371" s="3">
        <f>'_Настройки'!$B$5</f>
        <v/>
      </c>
      <c r="AP371" s="2">
        <f>IF(K371&gt;0;K371*AO371;0)</f>
        <v/>
      </c>
      <c r="AQ371" s="2">
        <f>L371-K371-AI371-AE371-IF(AM371&gt;0;AM371;'_Настройки'!$B$9)-AP371-AC371</f>
        <v/>
      </c>
      <c r="AR371" s="3">
        <f>IF(L371&gt;0;AQ371/L371;"")</f>
        <v/>
      </c>
      <c r="AS371" s="3">
        <f>IF(K371&gt;0;AQ371/K371;"")</f>
        <v/>
      </c>
      <c r="AT371" s="2">
        <f>L371-K371-AL371-AE371-IF(AM371&gt;0;AM371;'_Настройки'!$B$9)-AP371-AC371</f>
        <v/>
      </c>
      <c r="AU371" s="3">
        <f>IF(L371&gt;0;AT371/L371;"")</f>
        <v/>
      </c>
      <c r="AV371" s="3">
        <f>IF(K371&gt;0;AT371/K371;"")</f>
        <v/>
      </c>
    </row>
    <row r="372">
      <c r="A372">
        <f>ROW()-1</f>
        <v/>
      </c>
      <c r="K372" s="2">
        <f>IFERROR(INDEX('_Цены_закупки'!$B:$B;MATCH(C372;'_Цены_закупки'!$A:$A;0));"")</f>
        <v/>
      </c>
      <c r="L372" s="2" t="n"/>
      <c r="M372" s="2" t="n"/>
      <c r="N372" s="3">
        <f>IF(AND(M372&gt;0;L372&gt;0);1-L372/M372;"")</f>
        <v/>
      </c>
      <c r="O372" s="2">
        <f>IF(OR(Q372="";K372=0);"";(K372+IF(AM372&gt;0;AM372;'_Настройки'!$B$9)+AP372+AC372+Q372*K372)/(1-AH372-AD372))</f>
        <v/>
      </c>
      <c r="P372" s="2">
        <f>IF(O372="";"";O372-K372-O372*AH372-O372*AD372-IF(AM372&gt;0;AM372;'_Настройки'!$B$9)-AP372-AC372)</f>
        <v/>
      </c>
      <c r="Q372" s="3">
        <f>IF(AND(O372&gt;0;K372&gt;0);P372/K372;"")</f>
        <v/>
      </c>
      <c r="R372" s="2">
        <f>IF(O372="";"";O372-K372-O372*AK372-O372*AD372-IF(AM372&gt;0;AM372;'_Настройки'!$B$9)-AP372-AC372)</f>
        <v/>
      </c>
      <c r="S372" s="3">
        <f>IF(AND(O372&gt;0;K372&gt;0);R372/K372;"")</f>
        <v/>
      </c>
      <c r="T372" s="2" t="n"/>
      <c r="U372" s="3">
        <f>IF(AND(L372&gt;0;T372&gt;0);1-T372/L372;"")</f>
        <v/>
      </c>
      <c r="V372" s="3">
        <f>'_Настройки'!$B$4</f>
        <v/>
      </c>
      <c r="Z372" s="4">
        <f>IF(AND(W372&gt;0;X372&gt;0;Y372&gt;0);W372*X372*Y372/1000;"")</f>
        <v/>
      </c>
      <c r="AB372" s="2">
        <f>('_Настройки'!$B$6+MAX(0;Z372-1)*'_Настройки'!$B$7)*IF(AA372&gt;0;AA372;'_Настройки'!$B$10)</f>
        <v/>
      </c>
      <c r="AC372" s="2">
        <f>AB372*(1+'_Настройки'!$B$8)</f>
        <v/>
      </c>
      <c r="AD372" s="3">
        <f>'_Настройки'!$B$2</f>
        <v/>
      </c>
      <c r="AE372" s="2">
        <f>L372*AD372</f>
        <v/>
      </c>
      <c r="AF372" s="3">
        <f>'_Настройки'!$B$3</f>
        <v/>
      </c>
      <c r="AG372" s="3">
        <f>IFERROR(INDEX('_Комиссия_ВБ'!$B:$B;MATCH(C372;'_Комиссия_ВБ'!$A:$A;0));0,245)</f>
        <v/>
      </c>
      <c r="AH372" s="3">
        <f>AG372+AF372</f>
        <v/>
      </c>
      <c r="AI372" s="2">
        <f>L372*AH372</f>
        <v/>
      </c>
      <c r="AJ372" s="3">
        <f>IFERROR(INDEX('_Комиссия_ВБ'!$C:$C;MATCH(C372;'_Комиссия_ВБ'!$A:$A;0));0,28)</f>
        <v/>
      </c>
      <c r="AK372" s="3">
        <f>AJ372+AF372</f>
        <v/>
      </c>
      <c r="AL372" s="2">
        <f>L372*AK372</f>
        <v/>
      </c>
      <c r="AM372" s="2" t="n"/>
      <c r="AO372" s="3">
        <f>'_Настройки'!$B$5</f>
        <v/>
      </c>
      <c r="AP372" s="2">
        <f>IF(K372&gt;0;K372*AO372;0)</f>
        <v/>
      </c>
      <c r="AQ372" s="2">
        <f>L372-K372-AI372-AE372-IF(AM372&gt;0;AM372;'_Настройки'!$B$9)-AP372-AC372</f>
        <v/>
      </c>
      <c r="AR372" s="3">
        <f>IF(L372&gt;0;AQ372/L372;"")</f>
        <v/>
      </c>
      <c r="AS372" s="3">
        <f>IF(K372&gt;0;AQ372/K372;"")</f>
        <v/>
      </c>
      <c r="AT372" s="2">
        <f>L372-K372-AL372-AE372-IF(AM372&gt;0;AM372;'_Настройки'!$B$9)-AP372-AC372</f>
        <v/>
      </c>
      <c r="AU372" s="3">
        <f>IF(L372&gt;0;AT372/L372;"")</f>
        <v/>
      </c>
      <c r="AV372" s="3">
        <f>IF(K372&gt;0;AT372/K372;"")</f>
        <v/>
      </c>
    </row>
    <row r="373">
      <c r="A373">
        <f>ROW()-1</f>
        <v/>
      </c>
      <c r="K373" s="2">
        <f>IFERROR(INDEX('_Цены_закупки'!$B:$B;MATCH(C373;'_Цены_закупки'!$A:$A;0));"")</f>
        <v/>
      </c>
      <c r="L373" s="2" t="n"/>
      <c r="M373" s="2" t="n"/>
      <c r="N373" s="3">
        <f>IF(AND(M373&gt;0;L373&gt;0);1-L373/M373;"")</f>
        <v/>
      </c>
      <c r="O373" s="2">
        <f>IF(OR(Q373="";K373=0);"";(K373+IF(AM373&gt;0;AM373;'_Настройки'!$B$9)+AP373+AC373+Q373*K373)/(1-AH373-AD373))</f>
        <v/>
      </c>
      <c r="P373" s="2">
        <f>IF(O373="";"";O373-K373-O373*AH373-O373*AD373-IF(AM373&gt;0;AM373;'_Настройки'!$B$9)-AP373-AC373)</f>
        <v/>
      </c>
      <c r="Q373" s="3">
        <f>IF(AND(O373&gt;0;K373&gt;0);P373/K373;"")</f>
        <v/>
      </c>
      <c r="R373" s="2">
        <f>IF(O373="";"";O373-K373-O373*AK373-O373*AD373-IF(AM373&gt;0;AM373;'_Настройки'!$B$9)-AP373-AC373)</f>
        <v/>
      </c>
      <c r="S373" s="3">
        <f>IF(AND(O373&gt;0;K373&gt;0);R373/K373;"")</f>
        <v/>
      </c>
      <c r="T373" s="2" t="n"/>
      <c r="U373" s="3">
        <f>IF(AND(L373&gt;0;T373&gt;0);1-T373/L373;"")</f>
        <v/>
      </c>
      <c r="V373" s="3">
        <f>'_Настройки'!$B$4</f>
        <v/>
      </c>
      <c r="Z373" s="4">
        <f>IF(AND(W373&gt;0;X373&gt;0;Y373&gt;0);W373*X373*Y373/1000;"")</f>
        <v/>
      </c>
      <c r="AB373" s="2">
        <f>('_Настройки'!$B$6+MAX(0;Z373-1)*'_Настройки'!$B$7)*IF(AA373&gt;0;AA373;'_Настройки'!$B$10)</f>
        <v/>
      </c>
      <c r="AC373" s="2">
        <f>AB373*(1+'_Настройки'!$B$8)</f>
        <v/>
      </c>
      <c r="AD373" s="3">
        <f>'_Настройки'!$B$2</f>
        <v/>
      </c>
      <c r="AE373" s="2">
        <f>L373*AD373</f>
        <v/>
      </c>
      <c r="AF373" s="3">
        <f>'_Настройки'!$B$3</f>
        <v/>
      </c>
      <c r="AG373" s="3">
        <f>IFERROR(INDEX('_Комиссия_ВБ'!$B:$B;MATCH(C373;'_Комиссия_ВБ'!$A:$A;0));0,245)</f>
        <v/>
      </c>
      <c r="AH373" s="3">
        <f>AG373+AF373</f>
        <v/>
      </c>
      <c r="AI373" s="2">
        <f>L373*AH373</f>
        <v/>
      </c>
      <c r="AJ373" s="3">
        <f>IFERROR(INDEX('_Комиссия_ВБ'!$C:$C;MATCH(C373;'_Комиссия_ВБ'!$A:$A;0));0,28)</f>
        <v/>
      </c>
      <c r="AK373" s="3">
        <f>AJ373+AF373</f>
        <v/>
      </c>
      <c r="AL373" s="2">
        <f>L373*AK373</f>
        <v/>
      </c>
      <c r="AM373" s="2" t="n"/>
      <c r="AO373" s="3">
        <f>'_Настройки'!$B$5</f>
        <v/>
      </c>
      <c r="AP373" s="2">
        <f>IF(K373&gt;0;K373*AO373;0)</f>
        <v/>
      </c>
      <c r="AQ373" s="2">
        <f>L373-K373-AI373-AE373-IF(AM373&gt;0;AM373;'_Настройки'!$B$9)-AP373-AC373</f>
        <v/>
      </c>
      <c r="AR373" s="3">
        <f>IF(L373&gt;0;AQ373/L373;"")</f>
        <v/>
      </c>
      <c r="AS373" s="3">
        <f>IF(K373&gt;0;AQ373/K373;"")</f>
        <v/>
      </c>
      <c r="AT373" s="2">
        <f>L373-K373-AL373-AE373-IF(AM373&gt;0;AM373;'_Настройки'!$B$9)-AP373-AC373</f>
        <v/>
      </c>
      <c r="AU373" s="3">
        <f>IF(L373&gt;0;AT373/L373;"")</f>
        <v/>
      </c>
      <c r="AV373" s="3">
        <f>IF(K373&gt;0;AT373/K373;"")</f>
        <v/>
      </c>
    </row>
    <row r="374">
      <c r="A374">
        <f>ROW()-1</f>
        <v/>
      </c>
      <c r="K374" s="2">
        <f>IFERROR(INDEX('_Цены_закупки'!$B:$B;MATCH(C374;'_Цены_закупки'!$A:$A;0));"")</f>
        <v/>
      </c>
      <c r="L374" s="2" t="n"/>
      <c r="M374" s="2" t="n"/>
      <c r="N374" s="3">
        <f>IF(AND(M374&gt;0;L374&gt;0);1-L374/M374;"")</f>
        <v/>
      </c>
      <c r="O374" s="2">
        <f>IF(OR(Q374="";K374=0);"";(K374+IF(AM374&gt;0;AM374;'_Настройки'!$B$9)+AP374+AC374+Q374*K374)/(1-AH374-AD374))</f>
        <v/>
      </c>
      <c r="P374" s="2">
        <f>IF(O374="";"";O374-K374-O374*AH374-O374*AD374-IF(AM374&gt;0;AM374;'_Настройки'!$B$9)-AP374-AC374)</f>
        <v/>
      </c>
      <c r="Q374" s="3">
        <f>IF(AND(O374&gt;0;K374&gt;0);P374/K374;"")</f>
        <v/>
      </c>
      <c r="R374" s="2">
        <f>IF(O374="";"";O374-K374-O374*AK374-O374*AD374-IF(AM374&gt;0;AM374;'_Настройки'!$B$9)-AP374-AC374)</f>
        <v/>
      </c>
      <c r="S374" s="3">
        <f>IF(AND(O374&gt;0;K374&gt;0);R374/K374;"")</f>
        <v/>
      </c>
      <c r="T374" s="2" t="n"/>
      <c r="U374" s="3">
        <f>IF(AND(L374&gt;0;T374&gt;0);1-T374/L374;"")</f>
        <v/>
      </c>
      <c r="V374" s="3">
        <f>'_Настройки'!$B$4</f>
        <v/>
      </c>
      <c r="Z374" s="4">
        <f>IF(AND(W374&gt;0;X374&gt;0;Y374&gt;0);W374*X374*Y374/1000;"")</f>
        <v/>
      </c>
      <c r="AB374" s="2">
        <f>('_Настройки'!$B$6+MAX(0;Z374-1)*'_Настройки'!$B$7)*IF(AA374&gt;0;AA374;'_Настройки'!$B$10)</f>
        <v/>
      </c>
      <c r="AC374" s="2">
        <f>AB374*(1+'_Настройки'!$B$8)</f>
        <v/>
      </c>
      <c r="AD374" s="3">
        <f>'_Настройки'!$B$2</f>
        <v/>
      </c>
      <c r="AE374" s="2">
        <f>L374*AD374</f>
        <v/>
      </c>
      <c r="AF374" s="3">
        <f>'_Настройки'!$B$3</f>
        <v/>
      </c>
      <c r="AG374" s="3">
        <f>IFERROR(INDEX('_Комиссия_ВБ'!$B:$B;MATCH(C374;'_Комиссия_ВБ'!$A:$A;0));0,245)</f>
        <v/>
      </c>
      <c r="AH374" s="3">
        <f>AG374+AF374</f>
        <v/>
      </c>
      <c r="AI374" s="2">
        <f>L374*AH374</f>
        <v/>
      </c>
      <c r="AJ374" s="3">
        <f>IFERROR(INDEX('_Комиссия_ВБ'!$C:$C;MATCH(C374;'_Комиссия_ВБ'!$A:$A;0));0,28)</f>
        <v/>
      </c>
      <c r="AK374" s="3">
        <f>AJ374+AF374</f>
        <v/>
      </c>
      <c r="AL374" s="2">
        <f>L374*AK374</f>
        <v/>
      </c>
      <c r="AM374" s="2" t="n"/>
      <c r="AO374" s="3">
        <f>'_Настройки'!$B$5</f>
        <v/>
      </c>
      <c r="AP374" s="2">
        <f>IF(K374&gt;0;K374*AO374;0)</f>
        <v/>
      </c>
      <c r="AQ374" s="2">
        <f>L374-K374-AI374-AE374-IF(AM374&gt;0;AM374;'_Настройки'!$B$9)-AP374-AC374</f>
        <v/>
      </c>
      <c r="AR374" s="3">
        <f>IF(L374&gt;0;AQ374/L374;"")</f>
        <v/>
      </c>
      <c r="AS374" s="3">
        <f>IF(K374&gt;0;AQ374/K374;"")</f>
        <v/>
      </c>
      <c r="AT374" s="2">
        <f>L374-K374-AL374-AE374-IF(AM374&gt;0;AM374;'_Настройки'!$B$9)-AP374-AC374</f>
        <v/>
      </c>
      <c r="AU374" s="3">
        <f>IF(L374&gt;0;AT374/L374;"")</f>
        <v/>
      </c>
      <c r="AV374" s="3">
        <f>IF(K374&gt;0;AT374/K374;"")</f>
        <v/>
      </c>
    </row>
    <row r="375">
      <c r="A375">
        <f>ROW()-1</f>
        <v/>
      </c>
      <c r="K375" s="2">
        <f>IFERROR(INDEX('_Цены_закупки'!$B:$B;MATCH(C375;'_Цены_закупки'!$A:$A;0));"")</f>
        <v/>
      </c>
      <c r="L375" s="2" t="n"/>
      <c r="M375" s="2" t="n"/>
      <c r="N375" s="3">
        <f>IF(AND(M375&gt;0;L375&gt;0);1-L375/M375;"")</f>
        <v/>
      </c>
      <c r="O375" s="2">
        <f>IF(OR(Q375="";K375=0);"";(K375+IF(AM375&gt;0;AM375;'_Настройки'!$B$9)+AP375+AC375+Q375*K375)/(1-AH375-AD375))</f>
        <v/>
      </c>
      <c r="P375" s="2">
        <f>IF(O375="";"";O375-K375-O375*AH375-O375*AD375-IF(AM375&gt;0;AM375;'_Настройки'!$B$9)-AP375-AC375)</f>
        <v/>
      </c>
      <c r="Q375" s="3">
        <f>IF(AND(O375&gt;0;K375&gt;0);P375/K375;"")</f>
        <v/>
      </c>
      <c r="R375" s="2">
        <f>IF(O375="";"";O375-K375-O375*AK375-O375*AD375-IF(AM375&gt;0;AM375;'_Настройки'!$B$9)-AP375-AC375)</f>
        <v/>
      </c>
      <c r="S375" s="3">
        <f>IF(AND(O375&gt;0;K375&gt;0);R375/K375;"")</f>
        <v/>
      </c>
      <c r="T375" s="2" t="n"/>
      <c r="U375" s="3">
        <f>IF(AND(L375&gt;0;T375&gt;0);1-T375/L375;"")</f>
        <v/>
      </c>
      <c r="V375" s="3">
        <f>'_Настройки'!$B$4</f>
        <v/>
      </c>
      <c r="Z375" s="4">
        <f>IF(AND(W375&gt;0;X375&gt;0;Y375&gt;0);W375*X375*Y375/1000;"")</f>
        <v/>
      </c>
      <c r="AB375" s="2">
        <f>('_Настройки'!$B$6+MAX(0;Z375-1)*'_Настройки'!$B$7)*IF(AA375&gt;0;AA375;'_Настройки'!$B$10)</f>
        <v/>
      </c>
      <c r="AC375" s="2">
        <f>AB375*(1+'_Настройки'!$B$8)</f>
        <v/>
      </c>
      <c r="AD375" s="3">
        <f>'_Настройки'!$B$2</f>
        <v/>
      </c>
      <c r="AE375" s="2">
        <f>L375*AD375</f>
        <v/>
      </c>
      <c r="AF375" s="3">
        <f>'_Настройки'!$B$3</f>
        <v/>
      </c>
      <c r="AG375" s="3">
        <f>IFERROR(INDEX('_Комиссия_ВБ'!$B:$B;MATCH(C375;'_Комиссия_ВБ'!$A:$A;0));0,245)</f>
        <v/>
      </c>
      <c r="AH375" s="3">
        <f>AG375+AF375</f>
        <v/>
      </c>
      <c r="AI375" s="2">
        <f>L375*AH375</f>
        <v/>
      </c>
      <c r="AJ375" s="3">
        <f>IFERROR(INDEX('_Комиссия_ВБ'!$C:$C;MATCH(C375;'_Комиссия_ВБ'!$A:$A;0));0,28)</f>
        <v/>
      </c>
      <c r="AK375" s="3">
        <f>AJ375+AF375</f>
        <v/>
      </c>
      <c r="AL375" s="2">
        <f>L375*AK375</f>
        <v/>
      </c>
      <c r="AM375" s="2" t="n"/>
      <c r="AO375" s="3">
        <f>'_Настройки'!$B$5</f>
        <v/>
      </c>
      <c r="AP375" s="2">
        <f>IF(K375&gt;0;K375*AO375;0)</f>
        <v/>
      </c>
      <c r="AQ375" s="2">
        <f>L375-K375-AI375-AE375-IF(AM375&gt;0;AM375;'_Настройки'!$B$9)-AP375-AC375</f>
        <v/>
      </c>
      <c r="AR375" s="3">
        <f>IF(L375&gt;0;AQ375/L375;"")</f>
        <v/>
      </c>
      <c r="AS375" s="3">
        <f>IF(K375&gt;0;AQ375/K375;"")</f>
        <v/>
      </c>
      <c r="AT375" s="2">
        <f>L375-K375-AL375-AE375-IF(AM375&gt;0;AM375;'_Настройки'!$B$9)-AP375-AC375</f>
        <v/>
      </c>
      <c r="AU375" s="3">
        <f>IF(L375&gt;0;AT375/L375;"")</f>
        <v/>
      </c>
      <c r="AV375" s="3">
        <f>IF(K375&gt;0;AT375/K375;"")</f>
        <v/>
      </c>
    </row>
    <row r="376">
      <c r="A376">
        <f>ROW()-1</f>
        <v/>
      </c>
      <c r="K376" s="2">
        <f>IFERROR(INDEX('_Цены_закупки'!$B:$B;MATCH(C376;'_Цены_закупки'!$A:$A;0));"")</f>
        <v/>
      </c>
      <c r="L376" s="2" t="n"/>
      <c r="M376" s="2" t="n"/>
      <c r="N376" s="3">
        <f>IF(AND(M376&gt;0;L376&gt;0);1-L376/M376;"")</f>
        <v/>
      </c>
      <c r="O376" s="2">
        <f>IF(OR(Q376="";K376=0);"";(K376+IF(AM376&gt;0;AM376;'_Настройки'!$B$9)+AP376+AC376+Q376*K376)/(1-AH376-AD376))</f>
        <v/>
      </c>
      <c r="P376" s="2">
        <f>IF(O376="";"";O376-K376-O376*AH376-O376*AD376-IF(AM376&gt;0;AM376;'_Настройки'!$B$9)-AP376-AC376)</f>
        <v/>
      </c>
      <c r="Q376" s="3">
        <f>IF(AND(O376&gt;0;K376&gt;0);P376/K376;"")</f>
        <v/>
      </c>
      <c r="R376" s="2">
        <f>IF(O376="";"";O376-K376-O376*AK376-O376*AD376-IF(AM376&gt;0;AM376;'_Настройки'!$B$9)-AP376-AC376)</f>
        <v/>
      </c>
      <c r="S376" s="3">
        <f>IF(AND(O376&gt;0;K376&gt;0);R376/K376;"")</f>
        <v/>
      </c>
      <c r="T376" s="2" t="n"/>
      <c r="U376" s="3">
        <f>IF(AND(L376&gt;0;T376&gt;0);1-T376/L376;"")</f>
        <v/>
      </c>
      <c r="V376" s="3">
        <f>'_Настройки'!$B$4</f>
        <v/>
      </c>
      <c r="Z376" s="4">
        <f>IF(AND(W376&gt;0;X376&gt;0;Y376&gt;0);W376*X376*Y376/1000;"")</f>
        <v/>
      </c>
      <c r="AB376" s="2">
        <f>('_Настройки'!$B$6+MAX(0;Z376-1)*'_Настройки'!$B$7)*IF(AA376&gt;0;AA376;'_Настройки'!$B$10)</f>
        <v/>
      </c>
      <c r="AC376" s="2">
        <f>AB376*(1+'_Настройки'!$B$8)</f>
        <v/>
      </c>
      <c r="AD376" s="3">
        <f>'_Настройки'!$B$2</f>
        <v/>
      </c>
      <c r="AE376" s="2">
        <f>L376*AD376</f>
        <v/>
      </c>
      <c r="AF376" s="3">
        <f>'_Настройки'!$B$3</f>
        <v/>
      </c>
      <c r="AG376" s="3">
        <f>IFERROR(INDEX('_Комиссия_ВБ'!$B:$B;MATCH(C376;'_Комиссия_ВБ'!$A:$A;0));0,245)</f>
        <v/>
      </c>
      <c r="AH376" s="3">
        <f>AG376+AF376</f>
        <v/>
      </c>
      <c r="AI376" s="2">
        <f>L376*AH376</f>
        <v/>
      </c>
      <c r="AJ376" s="3">
        <f>IFERROR(INDEX('_Комиссия_ВБ'!$C:$C;MATCH(C376;'_Комиссия_ВБ'!$A:$A;0));0,28)</f>
        <v/>
      </c>
      <c r="AK376" s="3">
        <f>AJ376+AF376</f>
        <v/>
      </c>
      <c r="AL376" s="2">
        <f>L376*AK376</f>
        <v/>
      </c>
      <c r="AM376" s="2" t="n"/>
      <c r="AO376" s="3">
        <f>'_Настройки'!$B$5</f>
        <v/>
      </c>
      <c r="AP376" s="2">
        <f>IF(K376&gt;0;K376*AO376;0)</f>
        <v/>
      </c>
      <c r="AQ376" s="2">
        <f>L376-K376-AI376-AE376-IF(AM376&gt;0;AM376;'_Настройки'!$B$9)-AP376-AC376</f>
        <v/>
      </c>
      <c r="AR376" s="3">
        <f>IF(L376&gt;0;AQ376/L376;"")</f>
        <v/>
      </c>
      <c r="AS376" s="3">
        <f>IF(K376&gt;0;AQ376/K376;"")</f>
        <v/>
      </c>
      <c r="AT376" s="2">
        <f>L376-K376-AL376-AE376-IF(AM376&gt;0;AM376;'_Настройки'!$B$9)-AP376-AC376</f>
        <v/>
      </c>
      <c r="AU376" s="3">
        <f>IF(L376&gt;0;AT376/L376;"")</f>
        <v/>
      </c>
      <c r="AV376" s="3">
        <f>IF(K376&gt;0;AT376/K376;"")</f>
        <v/>
      </c>
    </row>
    <row r="377">
      <c r="A377">
        <f>ROW()-1</f>
        <v/>
      </c>
      <c r="K377" s="2">
        <f>IFERROR(INDEX('_Цены_закупки'!$B:$B;MATCH(C377;'_Цены_закупки'!$A:$A;0));"")</f>
        <v/>
      </c>
      <c r="L377" s="2" t="n"/>
      <c r="M377" s="2" t="n"/>
      <c r="N377" s="3">
        <f>IF(AND(M377&gt;0;L377&gt;0);1-L377/M377;"")</f>
        <v/>
      </c>
      <c r="O377" s="2">
        <f>IF(OR(Q377="";K377=0);"";(K377+IF(AM377&gt;0;AM377;'_Настройки'!$B$9)+AP377+AC377+Q377*K377)/(1-AH377-AD377))</f>
        <v/>
      </c>
      <c r="P377" s="2">
        <f>IF(O377="";"";O377-K377-O377*AH377-O377*AD377-IF(AM377&gt;0;AM377;'_Настройки'!$B$9)-AP377-AC377)</f>
        <v/>
      </c>
      <c r="Q377" s="3">
        <f>IF(AND(O377&gt;0;K377&gt;0);P377/K377;"")</f>
        <v/>
      </c>
      <c r="R377" s="2">
        <f>IF(O377="";"";O377-K377-O377*AK377-O377*AD377-IF(AM377&gt;0;AM377;'_Настройки'!$B$9)-AP377-AC377)</f>
        <v/>
      </c>
      <c r="S377" s="3">
        <f>IF(AND(O377&gt;0;K377&gt;0);R377/K377;"")</f>
        <v/>
      </c>
      <c r="T377" s="2" t="n"/>
      <c r="U377" s="3">
        <f>IF(AND(L377&gt;0;T377&gt;0);1-T377/L377;"")</f>
        <v/>
      </c>
      <c r="V377" s="3">
        <f>'_Настройки'!$B$4</f>
        <v/>
      </c>
      <c r="Z377" s="4">
        <f>IF(AND(W377&gt;0;X377&gt;0;Y377&gt;0);W377*X377*Y377/1000;"")</f>
        <v/>
      </c>
      <c r="AB377" s="2">
        <f>('_Настройки'!$B$6+MAX(0;Z377-1)*'_Настройки'!$B$7)*IF(AA377&gt;0;AA377;'_Настройки'!$B$10)</f>
        <v/>
      </c>
      <c r="AC377" s="2">
        <f>AB377*(1+'_Настройки'!$B$8)</f>
        <v/>
      </c>
      <c r="AD377" s="3">
        <f>'_Настройки'!$B$2</f>
        <v/>
      </c>
      <c r="AE377" s="2">
        <f>L377*AD377</f>
        <v/>
      </c>
      <c r="AF377" s="3">
        <f>'_Настройки'!$B$3</f>
        <v/>
      </c>
      <c r="AG377" s="3">
        <f>IFERROR(INDEX('_Комиссия_ВБ'!$B:$B;MATCH(C377;'_Комиссия_ВБ'!$A:$A;0));0,245)</f>
        <v/>
      </c>
      <c r="AH377" s="3">
        <f>AG377+AF377</f>
        <v/>
      </c>
      <c r="AI377" s="2">
        <f>L377*AH377</f>
        <v/>
      </c>
      <c r="AJ377" s="3">
        <f>IFERROR(INDEX('_Комиссия_ВБ'!$C:$C;MATCH(C377;'_Комиссия_ВБ'!$A:$A;0));0,28)</f>
        <v/>
      </c>
      <c r="AK377" s="3">
        <f>AJ377+AF377</f>
        <v/>
      </c>
      <c r="AL377" s="2">
        <f>L377*AK377</f>
        <v/>
      </c>
      <c r="AM377" s="2" t="n"/>
      <c r="AO377" s="3">
        <f>'_Настройки'!$B$5</f>
        <v/>
      </c>
      <c r="AP377" s="2">
        <f>IF(K377&gt;0;K377*AO377;0)</f>
        <v/>
      </c>
      <c r="AQ377" s="2">
        <f>L377-K377-AI377-AE377-IF(AM377&gt;0;AM377;'_Настройки'!$B$9)-AP377-AC377</f>
        <v/>
      </c>
      <c r="AR377" s="3">
        <f>IF(L377&gt;0;AQ377/L377;"")</f>
        <v/>
      </c>
      <c r="AS377" s="3">
        <f>IF(K377&gt;0;AQ377/K377;"")</f>
        <v/>
      </c>
      <c r="AT377" s="2">
        <f>L377-K377-AL377-AE377-IF(AM377&gt;0;AM377;'_Настройки'!$B$9)-AP377-AC377</f>
        <v/>
      </c>
      <c r="AU377" s="3">
        <f>IF(L377&gt;0;AT377/L377;"")</f>
        <v/>
      </c>
      <c r="AV377" s="3">
        <f>IF(K377&gt;0;AT377/K377;"")</f>
        <v/>
      </c>
    </row>
    <row r="378">
      <c r="A378">
        <f>ROW()-1</f>
        <v/>
      </c>
      <c r="K378" s="2">
        <f>IFERROR(INDEX('_Цены_закупки'!$B:$B;MATCH(C378;'_Цены_закупки'!$A:$A;0));"")</f>
        <v/>
      </c>
      <c r="L378" s="2" t="n"/>
      <c r="M378" s="2" t="n"/>
      <c r="N378" s="3">
        <f>IF(AND(M378&gt;0;L378&gt;0);1-L378/M378;"")</f>
        <v/>
      </c>
      <c r="O378" s="2">
        <f>IF(OR(Q378="";K378=0);"";(K378+IF(AM378&gt;0;AM378;'_Настройки'!$B$9)+AP378+AC378+Q378*K378)/(1-AH378-AD378))</f>
        <v/>
      </c>
      <c r="P378" s="2">
        <f>IF(O378="";"";O378-K378-O378*AH378-O378*AD378-IF(AM378&gt;0;AM378;'_Настройки'!$B$9)-AP378-AC378)</f>
        <v/>
      </c>
      <c r="Q378" s="3">
        <f>IF(AND(O378&gt;0;K378&gt;0);P378/K378;"")</f>
        <v/>
      </c>
      <c r="R378" s="2">
        <f>IF(O378="";"";O378-K378-O378*AK378-O378*AD378-IF(AM378&gt;0;AM378;'_Настройки'!$B$9)-AP378-AC378)</f>
        <v/>
      </c>
      <c r="S378" s="3">
        <f>IF(AND(O378&gt;0;K378&gt;0);R378/K378;"")</f>
        <v/>
      </c>
      <c r="T378" s="2" t="n"/>
      <c r="U378" s="3">
        <f>IF(AND(L378&gt;0;T378&gt;0);1-T378/L378;"")</f>
        <v/>
      </c>
      <c r="V378" s="3">
        <f>'_Настройки'!$B$4</f>
        <v/>
      </c>
      <c r="Z378" s="4">
        <f>IF(AND(W378&gt;0;X378&gt;0;Y378&gt;0);W378*X378*Y378/1000;"")</f>
        <v/>
      </c>
      <c r="AB378" s="2">
        <f>('_Настройки'!$B$6+MAX(0;Z378-1)*'_Настройки'!$B$7)*IF(AA378&gt;0;AA378;'_Настройки'!$B$10)</f>
        <v/>
      </c>
      <c r="AC378" s="2">
        <f>AB378*(1+'_Настройки'!$B$8)</f>
        <v/>
      </c>
      <c r="AD378" s="3">
        <f>'_Настройки'!$B$2</f>
        <v/>
      </c>
      <c r="AE378" s="2">
        <f>L378*AD378</f>
        <v/>
      </c>
      <c r="AF378" s="3">
        <f>'_Настройки'!$B$3</f>
        <v/>
      </c>
      <c r="AG378" s="3">
        <f>IFERROR(INDEX('_Комиссия_ВБ'!$B:$B;MATCH(C378;'_Комиссия_ВБ'!$A:$A;0));0,245)</f>
        <v/>
      </c>
      <c r="AH378" s="3">
        <f>AG378+AF378</f>
        <v/>
      </c>
      <c r="AI378" s="2">
        <f>L378*AH378</f>
        <v/>
      </c>
      <c r="AJ378" s="3">
        <f>IFERROR(INDEX('_Комиссия_ВБ'!$C:$C;MATCH(C378;'_Комиссия_ВБ'!$A:$A;0));0,28)</f>
        <v/>
      </c>
      <c r="AK378" s="3">
        <f>AJ378+AF378</f>
        <v/>
      </c>
      <c r="AL378" s="2">
        <f>L378*AK378</f>
        <v/>
      </c>
      <c r="AM378" s="2" t="n"/>
      <c r="AO378" s="3">
        <f>'_Настройки'!$B$5</f>
        <v/>
      </c>
      <c r="AP378" s="2">
        <f>IF(K378&gt;0;K378*AO378;0)</f>
        <v/>
      </c>
      <c r="AQ378" s="2">
        <f>L378-K378-AI378-AE378-IF(AM378&gt;0;AM378;'_Настройки'!$B$9)-AP378-AC378</f>
        <v/>
      </c>
      <c r="AR378" s="3">
        <f>IF(L378&gt;0;AQ378/L378;"")</f>
        <v/>
      </c>
      <c r="AS378" s="3">
        <f>IF(K378&gt;0;AQ378/K378;"")</f>
        <v/>
      </c>
      <c r="AT378" s="2">
        <f>L378-K378-AL378-AE378-IF(AM378&gt;0;AM378;'_Настройки'!$B$9)-AP378-AC378</f>
        <v/>
      </c>
      <c r="AU378" s="3">
        <f>IF(L378&gt;0;AT378/L378;"")</f>
        <v/>
      </c>
      <c r="AV378" s="3">
        <f>IF(K378&gt;0;AT378/K378;"")</f>
        <v/>
      </c>
    </row>
    <row r="379">
      <c r="A379">
        <f>ROW()-1</f>
        <v/>
      </c>
      <c r="K379" s="2">
        <f>IFERROR(INDEX('_Цены_закупки'!$B:$B;MATCH(C379;'_Цены_закупки'!$A:$A;0));"")</f>
        <v/>
      </c>
      <c r="L379" s="2" t="n"/>
      <c r="M379" s="2" t="n"/>
      <c r="N379" s="3">
        <f>IF(AND(M379&gt;0;L379&gt;0);1-L379/M379;"")</f>
        <v/>
      </c>
      <c r="O379" s="2">
        <f>IF(OR(Q379="";K379=0);"";(K379+IF(AM379&gt;0;AM379;'_Настройки'!$B$9)+AP379+AC379+Q379*K379)/(1-AH379-AD379))</f>
        <v/>
      </c>
      <c r="P379" s="2">
        <f>IF(O379="";"";O379-K379-O379*AH379-O379*AD379-IF(AM379&gt;0;AM379;'_Настройки'!$B$9)-AP379-AC379)</f>
        <v/>
      </c>
      <c r="Q379" s="3">
        <f>IF(AND(O379&gt;0;K379&gt;0);P379/K379;"")</f>
        <v/>
      </c>
      <c r="R379" s="2">
        <f>IF(O379="";"";O379-K379-O379*AK379-O379*AD379-IF(AM379&gt;0;AM379;'_Настройки'!$B$9)-AP379-AC379)</f>
        <v/>
      </c>
      <c r="S379" s="3">
        <f>IF(AND(O379&gt;0;K379&gt;0);R379/K379;"")</f>
        <v/>
      </c>
      <c r="T379" s="2" t="n"/>
      <c r="U379" s="3">
        <f>IF(AND(L379&gt;0;T379&gt;0);1-T379/L379;"")</f>
        <v/>
      </c>
      <c r="V379" s="3">
        <f>'_Настройки'!$B$4</f>
        <v/>
      </c>
      <c r="Z379" s="4">
        <f>IF(AND(W379&gt;0;X379&gt;0;Y379&gt;0);W379*X379*Y379/1000;"")</f>
        <v/>
      </c>
      <c r="AB379" s="2">
        <f>('_Настройки'!$B$6+MAX(0;Z379-1)*'_Настройки'!$B$7)*IF(AA379&gt;0;AA379;'_Настройки'!$B$10)</f>
        <v/>
      </c>
      <c r="AC379" s="2">
        <f>AB379*(1+'_Настройки'!$B$8)</f>
        <v/>
      </c>
      <c r="AD379" s="3">
        <f>'_Настройки'!$B$2</f>
        <v/>
      </c>
      <c r="AE379" s="2">
        <f>L379*AD379</f>
        <v/>
      </c>
      <c r="AF379" s="3">
        <f>'_Настройки'!$B$3</f>
        <v/>
      </c>
      <c r="AG379" s="3">
        <f>IFERROR(INDEX('_Комиссия_ВБ'!$B:$B;MATCH(C379;'_Комиссия_ВБ'!$A:$A;0));0,245)</f>
        <v/>
      </c>
      <c r="AH379" s="3">
        <f>AG379+AF379</f>
        <v/>
      </c>
      <c r="AI379" s="2">
        <f>L379*AH379</f>
        <v/>
      </c>
      <c r="AJ379" s="3">
        <f>IFERROR(INDEX('_Комиссия_ВБ'!$C:$C;MATCH(C379;'_Комиссия_ВБ'!$A:$A;0));0,28)</f>
        <v/>
      </c>
      <c r="AK379" s="3">
        <f>AJ379+AF379</f>
        <v/>
      </c>
      <c r="AL379" s="2">
        <f>L379*AK379</f>
        <v/>
      </c>
      <c r="AM379" s="2" t="n"/>
      <c r="AO379" s="3">
        <f>'_Настройки'!$B$5</f>
        <v/>
      </c>
      <c r="AP379" s="2">
        <f>IF(K379&gt;0;K379*AO379;0)</f>
        <v/>
      </c>
      <c r="AQ379" s="2">
        <f>L379-K379-AI379-AE379-IF(AM379&gt;0;AM379;'_Настройки'!$B$9)-AP379-AC379</f>
        <v/>
      </c>
      <c r="AR379" s="3">
        <f>IF(L379&gt;0;AQ379/L379;"")</f>
        <v/>
      </c>
      <c r="AS379" s="3">
        <f>IF(K379&gt;0;AQ379/K379;"")</f>
        <v/>
      </c>
      <c r="AT379" s="2">
        <f>L379-K379-AL379-AE379-IF(AM379&gt;0;AM379;'_Настройки'!$B$9)-AP379-AC379</f>
        <v/>
      </c>
      <c r="AU379" s="3">
        <f>IF(L379&gt;0;AT379/L379;"")</f>
        <v/>
      </c>
      <c r="AV379" s="3">
        <f>IF(K379&gt;0;AT379/K379;"")</f>
        <v/>
      </c>
    </row>
    <row r="380">
      <c r="A380">
        <f>ROW()-1</f>
        <v/>
      </c>
      <c r="K380" s="2">
        <f>IFERROR(INDEX('_Цены_закупки'!$B:$B;MATCH(C380;'_Цены_закупки'!$A:$A;0));"")</f>
        <v/>
      </c>
      <c r="L380" s="2" t="n"/>
      <c r="M380" s="2" t="n"/>
      <c r="N380" s="3">
        <f>IF(AND(M380&gt;0;L380&gt;0);1-L380/M380;"")</f>
        <v/>
      </c>
      <c r="O380" s="2">
        <f>IF(OR(Q380="";K380=0);"";(K380+IF(AM380&gt;0;AM380;'_Настройки'!$B$9)+AP380+AC380+Q380*K380)/(1-AH380-AD380))</f>
        <v/>
      </c>
      <c r="P380" s="2">
        <f>IF(O380="";"";O380-K380-O380*AH380-O380*AD380-IF(AM380&gt;0;AM380;'_Настройки'!$B$9)-AP380-AC380)</f>
        <v/>
      </c>
      <c r="Q380" s="3">
        <f>IF(AND(O380&gt;0;K380&gt;0);P380/K380;"")</f>
        <v/>
      </c>
      <c r="R380" s="2">
        <f>IF(O380="";"";O380-K380-O380*AK380-O380*AD380-IF(AM380&gt;0;AM380;'_Настройки'!$B$9)-AP380-AC380)</f>
        <v/>
      </c>
      <c r="S380" s="3">
        <f>IF(AND(O380&gt;0;K380&gt;0);R380/K380;"")</f>
        <v/>
      </c>
      <c r="T380" s="2" t="n"/>
      <c r="U380" s="3">
        <f>IF(AND(L380&gt;0;T380&gt;0);1-T380/L380;"")</f>
        <v/>
      </c>
      <c r="V380" s="3">
        <f>'_Настройки'!$B$4</f>
        <v/>
      </c>
      <c r="Z380" s="4">
        <f>IF(AND(W380&gt;0;X380&gt;0;Y380&gt;0);W380*X380*Y380/1000;"")</f>
        <v/>
      </c>
      <c r="AB380" s="2">
        <f>('_Настройки'!$B$6+MAX(0;Z380-1)*'_Настройки'!$B$7)*IF(AA380&gt;0;AA380;'_Настройки'!$B$10)</f>
        <v/>
      </c>
      <c r="AC380" s="2">
        <f>AB380*(1+'_Настройки'!$B$8)</f>
        <v/>
      </c>
      <c r="AD380" s="3">
        <f>'_Настройки'!$B$2</f>
        <v/>
      </c>
      <c r="AE380" s="2">
        <f>L380*AD380</f>
        <v/>
      </c>
      <c r="AF380" s="3">
        <f>'_Настройки'!$B$3</f>
        <v/>
      </c>
      <c r="AG380" s="3">
        <f>IFERROR(INDEX('_Комиссия_ВБ'!$B:$B;MATCH(C380;'_Комиссия_ВБ'!$A:$A;0));0,245)</f>
        <v/>
      </c>
      <c r="AH380" s="3">
        <f>AG380+AF380</f>
        <v/>
      </c>
      <c r="AI380" s="2">
        <f>L380*AH380</f>
        <v/>
      </c>
      <c r="AJ380" s="3">
        <f>IFERROR(INDEX('_Комиссия_ВБ'!$C:$C;MATCH(C380;'_Комиссия_ВБ'!$A:$A;0));0,28)</f>
        <v/>
      </c>
      <c r="AK380" s="3">
        <f>AJ380+AF380</f>
        <v/>
      </c>
      <c r="AL380" s="2">
        <f>L380*AK380</f>
        <v/>
      </c>
      <c r="AM380" s="2" t="n"/>
      <c r="AO380" s="3">
        <f>'_Настройки'!$B$5</f>
        <v/>
      </c>
      <c r="AP380" s="2">
        <f>IF(K380&gt;0;K380*AO380;0)</f>
        <v/>
      </c>
      <c r="AQ380" s="2">
        <f>L380-K380-AI380-AE380-IF(AM380&gt;0;AM380;'_Настройки'!$B$9)-AP380-AC380</f>
        <v/>
      </c>
      <c r="AR380" s="3">
        <f>IF(L380&gt;0;AQ380/L380;"")</f>
        <v/>
      </c>
      <c r="AS380" s="3">
        <f>IF(K380&gt;0;AQ380/K380;"")</f>
        <v/>
      </c>
      <c r="AT380" s="2">
        <f>L380-K380-AL380-AE380-IF(AM380&gt;0;AM380;'_Настройки'!$B$9)-AP380-AC380</f>
        <v/>
      </c>
      <c r="AU380" s="3">
        <f>IF(L380&gt;0;AT380/L380;"")</f>
        <v/>
      </c>
      <c r="AV380" s="3">
        <f>IF(K380&gt;0;AT380/K380;"")</f>
        <v/>
      </c>
    </row>
    <row r="381">
      <c r="A381">
        <f>ROW()-1</f>
        <v/>
      </c>
      <c r="K381" s="2">
        <f>IFERROR(INDEX('_Цены_закупки'!$B:$B;MATCH(C381;'_Цены_закупки'!$A:$A;0));"")</f>
        <v/>
      </c>
      <c r="L381" s="2" t="n"/>
      <c r="M381" s="2" t="n"/>
      <c r="N381" s="3">
        <f>IF(AND(M381&gt;0;L381&gt;0);1-L381/M381;"")</f>
        <v/>
      </c>
      <c r="O381" s="2">
        <f>IF(OR(Q381="";K381=0);"";(K381+IF(AM381&gt;0;AM381;'_Настройки'!$B$9)+AP381+AC381+Q381*K381)/(1-AH381-AD381))</f>
        <v/>
      </c>
      <c r="P381" s="2">
        <f>IF(O381="";"";O381-K381-O381*AH381-O381*AD381-IF(AM381&gt;0;AM381;'_Настройки'!$B$9)-AP381-AC381)</f>
        <v/>
      </c>
      <c r="Q381" s="3">
        <f>IF(AND(O381&gt;0;K381&gt;0);P381/K381;"")</f>
        <v/>
      </c>
      <c r="R381" s="2">
        <f>IF(O381="";"";O381-K381-O381*AK381-O381*AD381-IF(AM381&gt;0;AM381;'_Настройки'!$B$9)-AP381-AC381)</f>
        <v/>
      </c>
      <c r="S381" s="3">
        <f>IF(AND(O381&gt;0;K381&gt;0);R381/K381;"")</f>
        <v/>
      </c>
      <c r="T381" s="2" t="n"/>
      <c r="U381" s="3">
        <f>IF(AND(L381&gt;0;T381&gt;0);1-T381/L381;"")</f>
        <v/>
      </c>
      <c r="V381" s="3">
        <f>'_Настройки'!$B$4</f>
        <v/>
      </c>
      <c r="Z381" s="4">
        <f>IF(AND(W381&gt;0;X381&gt;0;Y381&gt;0);W381*X381*Y381/1000;"")</f>
        <v/>
      </c>
      <c r="AB381" s="2">
        <f>('_Настройки'!$B$6+MAX(0;Z381-1)*'_Настройки'!$B$7)*IF(AA381&gt;0;AA381;'_Настройки'!$B$10)</f>
        <v/>
      </c>
      <c r="AC381" s="2">
        <f>AB381*(1+'_Настройки'!$B$8)</f>
        <v/>
      </c>
      <c r="AD381" s="3">
        <f>'_Настройки'!$B$2</f>
        <v/>
      </c>
      <c r="AE381" s="2">
        <f>L381*AD381</f>
        <v/>
      </c>
      <c r="AF381" s="3">
        <f>'_Настройки'!$B$3</f>
        <v/>
      </c>
      <c r="AG381" s="3">
        <f>IFERROR(INDEX('_Комиссия_ВБ'!$B:$B;MATCH(C381;'_Комиссия_ВБ'!$A:$A;0));0,245)</f>
        <v/>
      </c>
      <c r="AH381" s="3">
        <f>AG381+AF381</f>
        <v/>
      </c>
      <c r="AI381" s="2">
        <f>L381*AH381</f>
        <v/>
      </c>
      <c r="AJ381" s="3">
        <f>IFERROR(INDEX('_Комиссия_ВБ'!$C:$C;MATCH(C381;'_Комиссия_ВБ'!$A:$A;0));0,28)</f>
        <v/>
      </c>
      <c r="AK381" s="3">
        <f>AJ381+AF381</f>
        <v/>
      </c>
      <c r="AL381" s="2">
        <f>L381*AK381</f>
        <v/>
      </c>
      <c r="AM381" s="2" t="n"/>
      <c r="AO381" s="3">
        <f>'_Настройки'!$B$5</f>
        <v/>
      </c>
      <c r="AP381" s="2">
        <f>IF(K381&gt;0;K381*AO381;0)</f>
        <v/>
      </c>
      <c r="AQ381" s="2">
        <f>L381-K381-AI381-AE381-IF(AM381&gt;0;AM381;'_Настройки'!$B$9)-AP381-AC381</f>
        <v/>
      </c>
      <c r="AR381" s="3">
        <f>IF(L381&gt;0;AQ381/L381;"")</f>
        <v/>
      </c>
      <c r="AS381" s="3">
        <f>IF(K381&gt;0;AQ381/K381;"")</f>
        <v/>
      </c>
      <c r="AT381" s="2">
        <f>L381-K381-AL381-AE381-IF(AM381&gt;0;AM381;'_Настройки'!$B$9)-AP381-AC381</f>
        <v/>
      </c>
      <c r="AU381" s="3">
        <f>IF(L381&gt;0;AT381/L381;"")</f>
        <v/>
      </c>
      <c r="AV381" s="3">
        <f>IF(K381&gt;0;AT381/K381;"")</f>
        <v/>
      </c>
    </row>
    <row r="382">
      <c r="A382">
        <f>ROW()-1</f>
        <v/>
      </c>
      <c r="K382" s="2">
        <f>IFERROR(INDEX('_Цены_закупки'!$B:$B;MATCH(C382;'_Цены_закупки'!$A:$A;0));"")</f>
        <v/>
      </c>
      <c r="L382" s="2" t="n"/>
      <c r="M382" s="2" t="n"/>
      <c r="N382" s="3">
        <f>IF(AND(M382&gt;0;L382&gt;0);1-L382/M382;"")</f>
        <v/>
      </c>
      <c r="O382" s="2">
        <f>IF(OR(Q382="";K382=0);"";(K382+IF(AM382&gt;0;AM382;'_Настройки'!$B$9)+AP382+AC382+Q382*K382)/(1-AH382-AD382))</f>
        <v/>
      </c>
      <c r="P382" s="2">
        <f>IF(O382="";"";O382-K382-O382*AH382-O382*AD382-IF(AM382&gt;0;AM382;'_Настройки'!$B$9)-AP382-AC382)</f>
        <v/>
      </c>
      <c r="Q382" s="3">
        <f>IF(AND(O382&gt;0;K382&gt;0);P382/K382;"")</f>
        <v/>
      </c>
      <c r="R382" s="2">
        <f>IF(O382="";"";O382-K382-O382*AK382-O382*AD382-IF(AM382&gt;0;AM382;'_Настройки'!$B$9)-AP382-AC382)</f>
        <v/>
      </c>
      <c r="S382" s="3">
        <f>IF(AND(O382&gt;0;K382&gt;0);R382/K382;"")</f>
        <v/>
      </c>
      <c r="T382" s="2" t="n"/>
      <c r="U382" s="3">
        <f>IF(AND(L382&gt;0;T382&gt;0);1-T382/L382;"")</f>
        <v/>
      </c>
      <c r="V382" s="3">
        <f>'_Настройки'!$B$4</f>
        <v/>
      </c>
      <c r="Z382" s="4">
        <f>IF(AND(W382&gt;0;X382&gt;0;Y382&gt;0);W382*X382*Y382/1000;"")</f>
        <v/>
      </c>
      <c r="AB382" s="2">
        <f>('_Настройки'!$B$6+MAX(0;Z382-1)*'_Настройки'!$B$7)*IF(AA382&gt;0;AA382;'_Настройки'!$B$10)</f>
        <v/>
      </c>
      <c r="AC382" s="2">
        <f>AB382*(1+'_Настройки'!$B$8)</f>
        <v/>
      </c>
      <c r="AD382" s="3">
        <f>'_Настройки'!$B$2</f>
        <v/>
      </c>
      <c r="AE382" s="2">
        <f>L382*AD382</f>
        <v/>
      </c>
      <c r="AF382" s="3">
        <f>'_Настройки'!$B$3</f>
        <v/>
      </c>
      <c r="AG382" s="3">
        <f>IFERROR(INDEX('_Комиссия_ВБ'!$B:$B;MATCH(C382;'_Комиссия_ВБ'!$A:$A;0));0,245)</f>
        <v/>
      </c>
      <c r="AH382" s="3">
        <f>AG382+AF382</f>
        <v/>
      </c>
      <c r="AI382" s="2">
        <f>L382*AH382</f>
        <v/>
      </c>
      <c r="AJ382" s="3">
        <f>IFERROR(INDEX('_Комиссия_ВБ'!$C:$C;MATCH(C382;'_Комиссия_ВБ'!$A:$A;0));0,28)</f>
        <v/>
      </c>
      <c r="AK382" s="3">
        <f>AJ382+AF382</f>
        <v/>
      </c>
      <c r="AL382" s="2">
        <f>L382*AK382</f>
        <v/>
      </c>
      <c r="AM382" s="2" t="n"/>
      <c r="AO382" s="3">
        <f>'_Настройки'!$B$5</f>
        <v/>
      </c>
      <c r="AP382" s="2">
        <f>IF(K382&gt;0;K382*AO382;0)</f>
        <v/>
      </c>
      <c r="AQ382" s="2">
        <f>L382-K382-AI382-AE382-IF(AM382&gt;0;AM382;'_Настройки'!$B$9)-AP382-AC382</f>
        <v/>
      </c>
      <c r="AR382" s="3">
        <f>IF(L382&gt;0;AQ382/L382;"")</f>
        <v/>
      </c>
      <c r="AS382" s="3">
        <f>IF(K382&gt;0;AQ382/K382;"")</f>
        <v/>
      </c>
      <c r="AT382" s="2">
        <f>L382-K382-AL382-AE382-IF(AM382&gt;0;AM382;'_Настройки'!$B$9)-AP382-AC382</f>
        <v/>
      </c>
      <c r="AU382" s="3">
        <f>IF(L382&gt;0;AT382/L382;"")</f>
        <v/>
      </c>
      <c r="AV382" s="3">
        <f>IF(K382&gt;0;AT382/K382;"")</f>
        <v/>
      </c>
    </row>
    <row r="383">
      <c r="A383">
        <f>ROW()-1</f>
        <v/>
      </c>
      <c r="K383" s="2">
        <f>IFERROR(INDEX('_Цены_закупки'!$B:$B;MATCH(C383;'_Цены_закупки'!$A:$A;0));"")</f>
        <v/>
      </c>
      <c r="L383" s="2" t="n"/>
      <c r="M383" s="2" t="n"/>
      <c r="N383" s="3">
        <f>IF(AND(M383&gt;0;L383&gt;0);1-L383/M383;"")</f>
        <v/>
      </c>
      <c r="O383" s="2">
        <f>IF(OR(Q383="";K383=0);"";(K383+IF(AM383&gt;0;AM383;'_Настройки'!$B$9)+AP383+AC383+Q383*K383)/(1-AH383-AD383))</f>
        <v/>
      </c>
      <c r="P383" s="2">
        <f>IF(O383="";"";O383-K383-O383*AH383-O383*AD383-IF(AM383&gt;0;AM383;'_Настройки'!$B$9)-AP383-AC383)</f>
        <v/>
      </c>
      <c r="Q383" s="3">
        <f>IF(AND(O383&gt;0;K383&gt;0);P383/K383;"")</f>
        <v/>
      </c>
      <c r="R383" s="2">
        <f>IF(O383="";"";O383-K383-O383*AK383-O383*AD383-IF(AM383&gt;0;AM383;'_Настройки'!$B$9)-AP383-AC383)</f>
        <v/>
      </c>
      <c r="S383" s="3">
        <f>IF(AND(O383&gt;0;K383&gt;0);R383/K383;"")</f>
        <v/>
      </c>
      <c r="T383" s="2" t="n"/>
      <c r="U383" s="3">
        <f>IF(AND(L383&gt;0;T383&gt;0);1-T383/L383;"")</f>
        <v/>
      </c>
      <c r="V383" s="3">
        <f>'_Настройки'!$B$4</f>
        <v/>
      </c>
      <c r="Z383" s="4">
        <f>IF(AND(W383&gt;0;X383&gt;0;Y383&gt;0);W383*X383*Y383/1000;"")</f>
        <v/>
      </c>
      <c r="AB383" s="2">
        <f>('_Настройки'!$B$6+MAX(0;Z383-1)*'_Настройки'!$B$7)*IF(AA383&gt;0;AA383;'_Настройки'!$B$10)</f>
        <v/>
      </c>
      <c r="AC383" s="2">
        <f>AB383*(1+'_Настройки'!$B$8)</f>
        <v/>
      </c>
      <c r="AD383" s="3">
        <f>'_Настройки'!$B$2</f>
        <v/>
      </c>
      <c r="AE383" s="2">
        <f>L383*AD383</f>
        <v/>
      </c>
      <c r="AF383" s="3">
        <f>'_Настройки'!$B$3</f>
        <v/>
      </c>
      <c r="AG383" s="3">
        <f>IFERROR(INDEX('_Комиссия_ВБ'!$B:$B;MATCH(C383;'_Комиссия_ВБ'!$A:$A;0));0,245)</f>
        <v/>
      </c>
      <c r="AH383" s="3">
        <f>AG383+AF383</f>
        <v/>
      </c>
      <c r="AI383" s="2">
        <f>L383*AH383</f>
        <v/>
      </c>
      <c r="AJ383" s="3">
        <f>IFERROR(INDEX('_Комиссия_ВБ'!$C:$C;MATCH(C383;'_Комиссия_ВБ'!$A:$A;0));0,28)</f>
        <v/>
      </c>
      <c r="AK383" s="3">
        <f>AJ383+AF383</f>
        <v/>
      </c>
      <c r="AL383" s="2">
        <f>L383*AK383</f>
        <v/>
      </c>
      <c r="AM383" s="2" t="n"/>
      <c r="AO383" s="3">
        <f>'_Настройки'!$B$5</f>
        <v/>
      </c>
      <c r="AP383" s="2">
        <f>IF(K383&gt;0;K383*AO383;0)</f>
        <v/>
      </c>
      <c r="AQ383" s="2">
        <f>L383-K383-AI383-AE383-IF(AM383&gt;0;AM383;'_Настройки'!$B$9)-AP383-AC383</f>
        <v/>
      </c>
      <c r="AR383" s="3">
        <f>IF(L383&gt;0;AQ383/L383;"")</f>
        <v/>
      </c>
      <c r="AS383" s="3">
        <f>IF(K383&gt;0;AQ383/K383;"")</f>
        <v/>
      </c>
      <c r="AT383" s="2">
        <f>L383-K383-AL383-AE383-IF(AM383&gt;0;AM383;'_Настройки'!$B$9)-AP383-AC383</f>
        <v/>
      </c>
      <c r="AU383" s="3">
        <f>IF(L383&gt;0;AT383/L383;"")</f>
        <v/>
      </c>
      <c r="AV383" s="3">
        <f>IF(K383&gt;0;AT383/K383;"")</f>
        <v/>
      </c>
    </row>
    <row r="384">
      <c r="A384">
        <f>ROW()-1</f>
        <v/>
      </c>
      <c r="K384" s="2">
        <f>IFERROR(INDEX('_Цены_закупки'!$B:$B;MATCH(C384;'_Цены_закупки'!$A:$A;0));"")</f>
        <v/>
      </c>
      <c r="L384" s="2" t="n"/>
      <c r="M384" s="2" t="n"/>
      <c r="N384" s="3">
        <f>IF(AND(M384&gt;0;L384&gt;0);1-L384/M384;"")</f>
        <v/>
      </c>
      <c r="O384" s="2">
        <f>IF(OR(Q384="";K384=0);"";(K384+IF(AM384&gt;0;AM384;'_Настройки'!$B$9)+AP384+AC384+Q384*K384)/(1-AH384-AD384))</f>
        <v/>
      </c>
      <c r="P384" s="2">
        <f>IF(O384="";"";O384-K384-O384*AH384-O384*AD384-IF(AM384&gt;0;AM384;'_Настройки'!$B$9)-AP384-AC384)</f>
        <v/>
      </c>
      <c r="Q384" s="3">
        <f>IF(AND(O384&gt;0;K384&gt;0);P384/K384;"")</f>
        <v/>
      </c>
      <c r="R384" s="2">
        <f>IF(O384="";"";O384-K384-O384*AK384-O384*AD384-IF(AM384&gt;0;AM384;'_Настройки'!$B$9)-AP384-AC384)</f>
        <v/>
      </c>
      <c r="S384" s="3">
        <f>IF(AND(O384&gt;0;K384&gt;0);R384/K384;"")</f>
        <v/>
      </c>
      <c r="T384" s="2" t="n"/>
      <c r="U384" s="3">
        <f>IF(AND(L384&gt;0;T384&gt;0);1-T384/L384;"")</f>
        <v/>
      </c>
      <c r="V384" s="3">
        <f>'_Настройки'!$B$4</f>
        <v/>
      </c>
      <c r="Z384" s="4">
        <f>IF(AND(W384&gt;0;X384&gt;0;Y384&gt;0);W384*X384*Y384/1000;"")</f>
        <v/>
      </c>
      <c r="AB384" s="2">
        <f>('_Настройки'!$B$6+MAX(0;Z384-1)*'_Настройки'!$B$7)*IF(AA384&gt;0;AA384;'_Настройки'!$B$10)</f>
        <v/>
      </c>
      <c r="AC384" s="2">
        <f>AB384*(1+'_Настройки'!$B$8)</f>
        <v/>
      </c>
      <c r="AD384" s="3">
        <f>'_Настройки'!$B$2</f>
        <v/>
      </c>
      <c r="AE384" s="2">
        <f>L384*AD384</f>
        <v/>
      </c>
      <c r="AF384" s="3">
        <f>'_Настройки'!$B$3</f>
        <v/>
      </c>
      <c r="AG384" s="3">
        <f>IFERROR(INDEX('_Комиссия_ВБ'!$B:$B;MATCH(C384;'_Комиссия_ВБ'!$A:$A;0));0,245)</f>
        <v/>
      </c>
      <c r="AH384" s="3">
        <f>AG384+AF384</f>
        <v/>
      </c>
      <c r="AI384" s="2">
        <f>L384*AH384</f>
        <v/>
      </c>
      <c r="AJ384" s="3">
        <f>IFERROR(INDEX('_Комиссия_ВБ'!$C:$C;MATCH(C384;'_Комиссия_ВБ'!$A:$A;0));0,28)</f>
        <v/>
      </c>
      <c r="AK384" s="3">
        <f>AJ384+AF384</f>
        <v/>
      </c>
      <c r="AL384" s="2">
        <f>L384*AK384</f>
        <v/>
      </c>
      <c r="AM384" s="2" t="n"/>
      <c r="AO384" s="3">
        <f>'_Настройки'!$B$5</f>
        <v/>
      </c>
      <c r="AP384" s="2">
        <f>IF(K384&gt;0;K384*AO384;0)</f>
        <v/>
      </c>
      <c r="AQ384" s="2">
        <f>L384-K384-AI384-AE384-IF(AM384&gt;0;AM384;'_Настройки'!$B$9)-AP384-AC384</f>
        <v/>
      </c>
      <c r="AR384" s="3">
        <f>IF(L384&gt;0;AQ384/L384;"")</f>
        <v/>
      </c>
      <c r="AS384" s="3">
        <f>IF(K384&gt;0;AQ384/K384;"")</f>
        <v/>
      </c>
      <c r="AT384" s="2">
        <f>L384-K384-AL384-AE384-IF(AM384&gt;0;AM384;'_Настройки'!$B$9)-AP384-AC384</f>
        <v/>
      </c>
      <c r="AU384" s="3">
        <f>IF(L384&gt;0;AT384/L384;"")</f>
        <v/>
      </c>
      <c r="AV384" s="3">
        <f>IF(K384&gt;0;AT384/K384;"")</f>
        <v/>
      </c>
    </row>
    <row r="385">
      <c r="A385">
        <f>ROW()-1</f>
        <v/>
      </c>
      <c r="K385" s="2">
        <f>IFERROR(INDEX('_Цены_закупки'!$B:$B;MATCH(C385;'_Цены_закупки'!$A:$A;0));"")</f>
        <v/>
      </c>
      <c r="L385" s="2" t="n"/>
      <c r="M385" s="2" t="n"/>
      <c r="N385" s="3">
        <f>IF(AND(M385&gt;0;L385&gt;0);1-L385/M385;"")</f>
        <v/>
      </c>
      <c r="O385" s="2">
        <f>IF(OR(Q385="";K385=0);"";(K385+IF(AM385&gt;0;AM385;'_Настройки'!$B$9)+AP385+AC385+Q385*K385)/(1-AH385-AD385))</f>
        <v/>
      </c>
      <c r="P385" s="2">
        <f>IF(O385="";"";O385-K385-O385*AH385-O385*AD385-IF(AM385&gt;0;AM385;'_Настройки'!$B$9)-AP385-AC385)</f>
        <v/>
      </c>
      <c r="Q385" s="3">
        <f>IF(AND(O385&gt;0;K385&gt;0);P385/K385;"")</f>
        <v/>
      </c>
      <c r="R385" s="2">
        <f>IF(O385="";"";O385-K385-O385*AK385-O385*AD385-IF(AM385&gt;0;AM385;'_Настройки'!$B$9)-AP385-AC385)</f>
        <v/>
      </c>
      <c r="S385" s="3">
        <f>IF(AND(O385&gt;0;K385&gt;0);R385/K385;"")</f>
        <v/>
      </c>
      <c r="T385" s="2" t="n"/>
      <c r="U385" s="3">
        <f>IF(AND(L385&gt;0;T385&gt;0);1-T385/L385;"")</f>
        <v/>
      </c>
      <c r="V385" s="3">
        <f>'_Настройки'!$B$4</f>
        <v/>
      </c>
      <c r="Z385" s="4">
        <f>IF(AND(W385&gt;0;X385&gt;0;Y385&gt;0);W385*X385*Y385/1000;"")</f>
        <v/>
      </c>
      <c r="AB385" s="2">
        <f>('_Настройки'!$B$6+MAX(0;Z385-1)*'_Настройки'!$B$7)*IF(AA385&gt;0;AA385;'_Настройки'!$B$10)</f>
        <v/>
      </c>
      <c r="AC385" s="2">
        <f>AB385*(1+'_Настройки'!$B$8)</f>
        <v/>
      </c>
      <c r="AD385" s="3">
        <f>'_Настройки'!$B$2</f>
        <v/>
      </c>
      <c r="AE385" s="2">
        <f>L385*AD385</f>
        <v/>
      </c>
      <c r="AF385" s="3">
        <f>'_Настройки'!$B$3</f>
        <v/>
      </c>
      <c r="AG385" s="3">
        <f>IFERROR(INDEX('_Комиссия_ВБ'!$B:$B;MATCH(C385;'_Комиссия_ВБ'!$A:$A;0));0,245)</f>
        <v/>
      </c>
      <c r="AH385" s="3">
        <f>AG385+AF385</f>
        <v/>
      </c>
      <c r="AI385" s="2">
        <f>L385*AH385</f>
        <v/>
      </c>
      <c r="AJ385" s="3">
        <f>IFERROR(INDEX('_Комиссия_ВБ'!$C:$C;MATCH(C385;'_Комиссия_ВБ'!$A:$A;0));0,28)</f>
        <v/>
      </c>
      <c r="AK385" s="3">
        <f>AJ385+AF385</f>
        <v/>
      </c>
      <c r="AL385" s="2">
        <f>L385*AK385</f>
        <v/>
      </c>
      <c r="AM385" s="2" t="n"/>
      <c r="AO385" s="3">
        <f>'_Настройки'!$B$5</f>
        <v/>
      </c>
      <c r="AP385" s="2">
        <f>IF(K385&gt;0;K385*AO385;0)</f>
        <v/>
      </c>
      <c r="AQ385" s="2">
        <f>L385-K385-AI385-AE385-IF(AM385&gt;0;AM385;'_Настройки'!$B$9)-AP385-AC385</f>
        <v/>
      </c>
      <c r="AR385" s="3">
        <f>IF(L385&gt;0;AQ385/L385;"")</f>
        <v/>
      </c>
      <c r="AS385" s="3">
        <f>IF(K385&gt;0;AQ385/K385;"")</f>
        <v/>
      </c>
      <c r="AT385" s="2">
        <f>L385-K385-AL385-AE385-IF(AM385&gt;0;AM385;'_Настройки'!$B$9)-AP385-AC385</f>
        <v/>
      </c>
      <c r="AU385" s="3">
        <f>IF(L385&gt;0;AT385/L385;"")</f>
        <v/>
      </c>
      <c r="AV385" s="3">
        <f>IF(K385&gt;0;AT385/K385;"")</f>
        <v/>
      </c>
    </row>
    <row r="386">
      <c r="A386">
        <f>ROW()-1</f>
        <v/>
      </c>
      <c r="K386" s="2">
        <f>IFERROR(INDEX('_Цены_закупки'!$B:$B;MATCH(C386;'_Цены_закупки'!$A:$A;0));"")</f>
        <v/>
      </c>
      <c r="L386" s="2" t="n"/>
      <c r="M386" s="2" t="n"/>
      <c r="N386" s="3">
        <f>IF(AND(M386&gt;0;L386&gt;0);1-L386/M386;"")</f>
        <v/>
      </c>
      <c r="O386" s="2">
        <f>IF(OR(Q386="";K386=0);"";(K386+IF(AM386&gt;0;AM386;'_Настройки'!$B$9)+AP386+AC386+Q386*K386)/(1-AH386-AD386))</f>
        <v/>
      </c>
      <c r="P386" s="2">
        <f>IF(O386="";"";O386-K386-O386*AH386-O386*AD386-IF(AM386&gt;0;AM386;'_Настройки'!$B$9)-AP386-AC386)</f>
        <v/>
      </c>
      <c r="Q386" s="3">
        <f>IF(AND(O386&gt;0;K386&gt;0);P386/K386;"")</f>
        <v/>
      </c>
      <c r="R386" s="2">
        <f>IF(O386="";"";O386-K386-O386*AK386-O386*AD386-IF(AM386&gt;0;AM386;'_Настройки'!$B$9)-AP386-AC386)</f>
        <v/>
      </c>
      <c r="S386" s="3">
        <f>IF(AND(O386&gt;0;K386&gt;0);R386/K386;"")</f>
        <v/>
      </c>
      <c r="T386" s="2" t="n"/>
      <c r="U386" s="3">
        <f>IF(AND(L386&gt;0;T386&gt;0);1-T386/L386;"")</f>
        <v/>
      </c>
      <c r="V386" s="3">
        <f>'_Настройки'!$B$4</f>
        <v/>
      </c>
      <c r="Z386" s="4">
        <f>IF(AND(W386&gt;0;X386&gt;0;Y386&gt;0);W386*X386*Y386/1000;"")</f>
        <v/>
      </c>
      <c r="AB386" s="2">
        <f>('_Настройки'!$B$6+MAX(0;Z386-1)*'_Настройки'!$B$7)*IF(AA386&gt;0;AA386;'_Настройки'!$B$10)</f>
        <v/>
      </c>
      <c r="AC386" s="2">
        <f>AB386*(1+'_Настройки'!$B$8)</f>
        <v/>
      </c>
      <c r="AD386" s="3">
        <f>'_Настройки'!$B$2</f>
        <v/>
      </c>
      <c r="AE386" s="2">
        <f>L386*AD386</f>
        <v/>
      </c>
      <c r="AF386" s="3">
        <f>'_Настройки'!$B$3</f>
        <v/>
      </c>
      <c r="AG386" s="3">
        <f>IFERROR(INDEX('_Комиссия_ВБ'!$B:$B;MATCH(C386;'_Комиссия_ВБ'!$A:$A;0));0,245)</f>
        <v/>
      </c>
      <c r="AH386" s="3">
        <f>AG386+AF386</f>
        <v/>
      </c>
      <c r="AI386" s="2">
        <f>L386*AH386</f>
        <v/>
      </c>
      <c r="AJ386" s="3">
        <f>IFERROR(INDEX('_Комиссия_ВБ'!$C:$C;MATCH(C386;'_Комиссия_ВБ'!$A:$A;0));0,28)</f>
        <v/>
      </c>
      <c r="AK386" s="3">
        <f>AJ386+AF386</f>
        <v/>
      </c>
      <c r="AL386" s="2">
        <f>L386*AK386</f>
        <v/>
      </c>
      <c r="AM386" s="2" t="n"/>
      <c r="AO386" s="3">
        <f>'_Настройки'!$B$5</f>
        <v/>
      </c>
      <c r="AP386" s="2">
        <f>IF(K386&gt;0;K386*AO386;0)</f>
        <v/>
      </c>
      <c r="AQ386" s="2">
        <f>L386-K386-AI386-AE386-IF(AM386&gt;0;AM386;'_Настройки'!$B$9)-AP386-AC386</f>
        <v/>
      </c>
      <c r="AR386" s="3">
        <f>IF(L386&gt;0;AQ386/L386;"")</f>
        <v/>
      </c>
      <c r="AS386" s="3">
        <f>IF(K386&gt;0;AQ386/K386;"")</f>
        <v/>
      </c>
      <c r="AT386" s="2">
        <f>L386-K386-AL386-AE386-IF(AM386&gt;0;AM386;'_Настройки'!$B$9)-AP386-AC386</f>
        <v/>
      </c>
      <c r="AU386" s="3">
        <f>IF(L386&gt;0;AT386/L386;"")</f>
        <v/>
      </c>
      <c r="AV386" s="3">
        <f>IF(K386&gt;0;AT386/K386;"")</f>
        <v/>
      </c>
    </row>
    <row r="387">
      <c r="A387">
        <f>ROW()-1</f>
        <v/>
      </c>
      <c r="K387" s="2">
        <f>IFERROR(INDEX('_Цены_закупки'!$B:$B;MATCH(C387;'_Цены_закупки'!$A:$A;0));"")</f>
        <v/>
      </c>
      <c r="L387" s="2" t="n"/>
      <c r="M387" s="2" t="n"/>
      <c r="N387" s="3">
        <f>IF(AND(M387&gt;0;L387&gt;0);1-L387/M387;"")</f>
        <v/>
      </c>
      <c r="O387" s="2">
        <f>IF(OR(Q387="";K387=0);"";(K387+IF(AM387&gt;0;AM387;'_Настройки'!$B$9)+AP387+AC387+Q387*K387)/(1-AH387-AD387))</f>
        <v/>
      </c>
      <c r="P387" s="2">
        <f>IF(O387="";"";O387-K387-O387*AH387-O387*AD387-IF(AM387&gt;0;AM387;'_Настройки'!$B$9)-AP387-AC387)</f>
        <v/>
      </c>
      <c r="Q387" s="3">
        <f>IF(AND(O387&gt;0;K387&gt;0);P387/K387;"")</f>
        <v/>
      </c>
      <c r="R387" s="2">
        <f>IF(O387="";"";O387-K387-O387*AK387-O387*AD387-IF(AM387&gt;0;AM387;'_Настройки'!$B$9)-AP387-AC387)</f>
        <v/>
      </c>
      <c r="S387" s="3">
        <f>IF(AND(O387&gt;0;K387&gt;0);R387/K387;"")</f>
        <v/>
      </c>
      <c r="T387" s="2" t="n"/>
      <c r="U387" s="3">
        <f>IF(AND(L387&gt;0;T387&gt;0);1-T387/L387;"")</f>
        <v/>
      </c>
      <c r="V387" s="3">
        <f>'_Настройки'!$B$4</f>
        <v/>
      </c>
      <c r="Z387" s="4">
        <f>IF(AND(W387&gt;0;X387&gt;0;Y387&gt;0);W387*X387*Y387/1000;"")</f>
        <v/>
      </c>
      <c r="AB387" s="2">
        <f>('_Настройки'!$B$6+MAX(0;Z387-1)*'_Настройки'!$B$7)*IF(AA387&gt;0;AA387;'_Настройки'!$B$10)</f>
        <v/>
      </c>
      <c r="AC387" s="2">
        <f>AB387*(1+'_Настройки'!$B$8)</f>
        <v/>
      </c>
      <c r="AD387" s="3">
        <f>'_Настройки'!$B$2</f>
        <v/>
      </c>
      <c r="AE387" s="2">
        <f>L387*AD387</f>
        <v/>
      </c>
      <c r="AF387" s="3">
        <f>'_Настройки'!$B$3</f>
        <v/>
      </c>
      <c r="AG387" s="3">
        <f>IFERROR(INDEX('_Комиссия_ВБ'!$B:$B;MATCH(C387;'_Комиссия_ВБ'!$A:$A;0));0,245)</f>
        <v/>
      </c>
      <c r="AH387" s="3">
        <f>AG387+AF387</f>
        <v/>
      </c>
      <c r="AI387" s="2">
        <f>L387*AH387</f>
        <v/>
      </c>
      <c r="AJ387" s="3">
        <f>IFERROR(INDEX('_Комиссия_ВБ'!$C:$C;MATCH(C387;'_Комиссия_ВБ'!$A:$A;0));0,28)</f>
        <v/>
      </c>
      <c r="AK387" s="3">
        <f>AJ387+AF387</f>
        <v/>
      </c>
      <c r="AL387" s="2">
        <f>L387*AK387</f>
        <v/>
      </c>
      <c r="AM387" s="2" t="n"/>
      <c r="AO387" s="3">
        <f>'_Настройки'!$B$5</f>
        <v/>
      </c>
      <c r="AP387" s="2">
        <f>IF(K387&gt;0;K387*AO387;0)</f>
        <v/>
      </c>
      <c r="AQ387" s="2">
        <f>L387-K387-AI387-AE387-IF(AM387&gt;0;AM387;'_Настройки'!$B$9)-AP387-AC387</f>
        <v/>
      </c>
      <c r="AR387" s="3">
        <f>IF(L387&gt;0;AQ387/L387;"")</f>
        <v/>
      </c>
      <c r="AS387" s="3">
        <f>IF(K387&gt;0;AQ387/K387;"")</f>
        <v/>
      </c>
      <c r="AT387" s="2">
        <f>L387-K387-AL387-AE387-IF(AM387&gt;0;AM387;'_Настройки'!$B$9)-AP387-AC387</f>
        <v/>
      </c>
      <c r="AU387" s="3">
        <f>IF(L387&gt;0;AT387/L387;"")</f>
        <v/>
      </c>
      <c r="AV387" s="3">
        <f>IF(K387&gt;0;AT387/K387;"")</f>
        <v/>
      </c>
    </row>
    <row r="388">
      <c r="A388">
        <f>ROW()-1</f>
        <v/>
      </c>
      <c r="K388" s="2">
        <f>IFERROR(INDEX('_Цены_закупки'!$B:$B;MATCH(C388;'_Цены_закупки'!$A:$A;0));"")</f>
        <v/>
      </c>
      <c r="L388" s="2" t="n"/>
      <c r="M388" s="2" t="n"/>
      <c r="N388" s="3">
        <f>IF(AND(M388&gt;0;L388&gt;0);1-L388/M388;"")</f>
        <v/>
      </c>
      <c r="O388" s="2">
        <f>IF(OR(Q388="";K388=0);"";(K388+IF(AM388&gt;0;AM388;'_Настройки'!$B$9)+AP388+AC388+Q388*K388)/(1-AH388-AD388))</f>
        <v/>
      </c>
      <c r="P388" s="2">
        <f>IF(O388="";"";O388-K388-O388*AH388-O388*AD388-IF(AM388&gt;0;AM388;'_Настройки'!$B$9)-AP388-AC388)</f>
        <v/>
      </c>
      <c r="Q388" s="3">
        <f>IF(AND(O388&gt;0;K388&gt;0);P388/K388;"")</f>
        <v/>
      </c>
      <c r="R388" s="2">
        <f>IF(O388="";"";O388-K388-O388*AK388-O388*AD388-IF(AM388&gt;0;AM388;'_Настройки'!$B$9)-AP388-AC388)</f>
        <v/>
      </c>
      <c r="S388" s="3">
        <f>IF(AND(O388&gt;0;K388&gt;0);R388/K388;"")</f>
        <v/>
      </c>
      <c r="T388" s="2" t="n"/>
      <c r="U388" s="3">
        <f>IF(AND(L388&gt;0;T388&gt;0);1-T388/L388;"")</f>
        <v/>
      </c>
      <c r="V388" s="3">
        <f>'_Настройки'!$B$4</f>
        <v/>
      </c>
      <c r="Z388" s="4">
        <f>IF(AND(W388&gt;0;X388&gt;0;Y388&gt;0);W388*X388*Y388/1000;"")</f>
        <v/>
      </c>
      <c r="AB388" s="2">
        <f>('_Настройки'!$B$6+MAX(0;Z388-1)*'_Настройки'!$B$7)*IF(AA388&gt;0;AA388;'_Настройки'!$B$10)</f>
        <v/>
      </c>
      <c r="AC388" s="2">
        <f>AB388*(1+'_Настройки'!$B$8)</f>
        <v/>
      </c>
      <c r="AD388" s="3">
        <f>'_Настройки'!$B$2</f>
        <v/>
      </c>
      <c r="AE388" s="2">
        <f>L388*AD388</f>
        <v/>
      </c>
      <c r="AF388" s="3">
        <f>'_Настройки'!$B$3</f>
        <v/>
      </c>
      <c r="AG388" s="3">
        <f>IFERROR(INDEX('_Комиссия_ВБ'!$B:$B;MATCH(C388;'_Комиссия_ВБ'!$A:$A;0));0,245)</f>
        <v/>
      </c>
      <c r="AH388" s="3">
        <f>AG388+AF388</f>
        <v/>
      </c>
      <c r="AI388" s="2">
        <f>L388*AH388</f>
        <v/>
      </c>
      <c r="AJ388" s="3">
        <f>IFERROR(INDEX('_Комиссия_ВБ'!$C:$C;MATCH(C388;'_Комиссия_ВБ'!$A:$A;0));0,28)</f>
        <v/>
      </c>
      <c r="AK388" s="3">
        <f>AJ388+AF388</f>
        <v/>
      </c>
      <c r="AL388" s="2">
        <f>L388*AK388</f>
        <v/>
      </c>
      <c r="AM388" s="2" t="n"/>
      <c r="AO388" s="3">
        <f>'_Настройки'!$B$5</f>
        <v/>
      </c>
      <c r="AP388" s="2">
        <f>IF(K388&gt;0;K388*AO388;0)</f>
        <v/>
      </c>
      <c r="AQ388" s="2">
        <f>L388-K388-AI388-AE388-IF(AM388&gt;0;AM388;'_Настройки'!$B$9)-AP388-AC388</f>
        <v/>
      </c>
      <c r="AR388" s="3">
        <f>IF(L388&gt;0;AQ388/L388;"")</f>
        <v/>
      </c>
      <c r="AS388" s="3">
        <f>IF(K388&gt;0;AQ388/K388;"")</f>
        <v/>
      </c>
      <c r="AT388" s="2">
        <f>L388-K388-AL388-AE388-IF(AM388&gt;0;AM388;'_Настройки'!$B$9)-AP388-AC388</f>
        <v/>
      </c>
      <c r="AU388" s="3">
        <f>IF(L388&gt;0;AT388/L388;"")</f>
        <v/>
      </c>
      <c r="AV388" s="3">
        <f>IF(K388&gt;0;AT388/K388;"")</f>
        <v/>
      </c>
    </row>
    <row r="389">
      <c r="A389">
        <f>ROW()-1</f>
        <v/>
      </c>
      <c r="K389" s="2">
        <f>IFERROR(INDEX('_Цены_закупки'!$B:$B;MATCH(C389;'_Цены_закупки'!$A:$A;0));"")</f>
        <v/>
      </c>
      <c r="L389" s="2" t="n"/>
      <c r="M389" s="2" t="n"/>
      <c r="N389" s="3">
        <f>IF(AND(M389&gt;0;L389&gt;0);1-L389/M389;"")</f>
        <v/>
      </c>
      <c r="O389" s="2">
        <f>IF(OR(Q389="";K389=0);"";(K389+IF(AM389&gt;0;AM389;'_Настройки'!$B$9)+AP389+AC389+Q389*K389)/(1-AH389-AD389))</f>
        <v/>
      </c>
      <c r="P389" s="2">
        <f>IF(O389="";"";O389-K389-O389*AH389-O389*AD389-IF(AM389&gt;0;AM389;'_Настройки'!$B$9)-AP389-AC389)</f>
        <v/>
      </c>
      <c r="Q389" s="3">
        <f>IF(AND(O389&gt;0;K389&gt;0);P389/K389;"")</f>
        <v/>
      </c>
      <c r="R389" s="2">
        <f>IF(O389="";"";O389-K389-O389*AK389-O389*AD389-IF(AM389&gt;0;AM389;'_Настройки'!$B$9)-AP389-AC389)</f>
        <v/>
      </c>
      <c r="S389" s="3">
        <f>IF(AND(O389&gt;0;K389&gt;0);R389/K389;"")</f>
        <v/>
      </c>
      <c r="T389" s="2" t="n"/>
      <c r="U389" s="3">
        <f>IF(AND(L389&gt;0;T389&gt;0);1-T389/L389;"")</f>
        <v/>
      </c>
      <c r="V389" s="3">
        <f>'_Настройки'!$B$4</f>
        <v/>
      </c>
      <c r="Z389" s="4">
        <f>IF(AND(W389&gt;0;X389&gt;0;Y389&gt;0);W389*X389*Y389/1000;"")</f>
        <v/>
      </c>
      <c r="AB389" s="2">
        <f>('_Настройки'!$B$6+MAX(0;Z389-1)*'_Настройки'!$B$7)*IF(AA389&gt;0;AA389;'_Настройки'!$B$10)</f>
        <v/>
      </c>
      <c r="AC389" s="2">
        <f>AB389*(1+'_Настройки'!$B$8)</f>
        <v/>
      </c>
      <c r="AD389" s="3">
        <f>'_Настройки'!$B$2</f>
        <v/>
      </c>
      <c r="AE389" s="2">
        <f>L389*AD389</f>
        <v/>
      </c>
      <c r="AF389" s="3">
        <f>'_Настройки'!$B$3</f>
        <v/>
      </c>
      <c r="AG389" s="3">
        <f>IFERROR(INDEX('_Комиссия_ВБ'!$B:$B;MATCH(C389;'_Комиссия_ВБ'!$A:$A;0));0,245)</f>
        <v/>
      </c>
      <c r="AH389" s="3">
        <f>AG389+AF389</f>
        <v/>
      </c>
      <c r="AI389" s="2">
        <f>L389*AH389</f>
        <v/>
      </c>
      <c r="AJ389" s="3">
        <f>IFERROR(INDEX('_Комиссия_ВБ'!$C:$C;MATCH(C389;'_Комиссия_ВБ'!$A:$A;0));0,28)</f>
        <v/>
      </c>
      <c r="AK389" s="3">
        <f>AJ389+AF389</f>
        <v/>
      </c>
      <c r="AL389" s="2">
        <f>L389*AK389</f>
        <v/>
      </c>
      <c r="AM389" s="2" t="n"/>
      <c r="AO389" s="3">
        <f>'_Настройки'!$B$5</f>
        <v/>
      </c>
      <c r="AP389" s="2">
        <f>IF(K389&gt;0;K389*AO389;0)</f>
        <v/>
      </c>
      <c r="AQ389" s="2">
        <f>L389-K389-AI389-AE389-IF(AM389&gt;0;AM389;'_Настройки'!$B$9)-AP389-AC389</f>
        <v/>
      </c>
      <c r="AR389" s="3">
        <f>IF(L389&gt;0;AQ389/L389;"")</f>
        <v/>
      </c>
      <c r="AS389" s="3">
        <f>IF(K389&gt;0;AQ389/K389;"")</f>
        <v/>
      </c>
      <c r="AT389" s="2">
        <f>L389-K389-AL389-AE389-IF(AM389&gt;0;AM389;'_Настройки'!$B$9)-AP389-AC389</f>
        <v/>
      </c>
      <c r="AU389" s="3">
        <f>IF(L389&gt;0;AT389/L389;"")</f>
        <v/>
      </c>
      <c r="AV389" s="3">
        <f>IF(K389&gt;0;AT389/K389;"")</f>
        <v/>
      </c>
    </row>
    <row r="390">
      <c r="A390">
        <f>ROW()-1</f>
        <v/>
      </c>
      <c r="K390" s="2">
        <f>IFERROR(INDEX('_Цены_закупки'!$B:$B;MATCH(C390;'_Цены_закупки'!$A:$A;0));"")</f>
        <v/>
      </c>
      <c r="L390" s="2" t="n"/>
      <c r="M390" s="2" t="n"/>
      <c r="N390" s="3">
        <f>IF(AND(M390&gt;0;L390&gt;0);1-L390/M390;"")</f>
        <v/>
      </c>
      <c r="O390" s="2">
        <f>IF(OR(Q390="";K390=0);"";(K390+IF(AM390&gt;0;AM390;'_Настройки'!$B$9)+AP390+AC390+Q390*K390)/(1-AH390-AD390))</f>
        <v/>
      </c>
      <c r="P390" s="2">
        <f>IF(O390="";"";O390-K390-O390*AH390-O390*AD390-IF(AM390&gt;0;AM390;'_Настройки'!$B$9)-AP390-AC390)</f>
        <v/>
      </c>
      <c r="Q390" s="3">
        <f>IF(AND(O390&gt;0;K390&gt;0);P390/K390;"")</f>
        <v/>
      </c>
      <c r="R390" s="2">
        <f>IF(O390="";"";O390-K390-O390*AK390-O390*AD390-IF(AM390&gt;0;AM390;'_Настройки'!$B$9)-AP390-AC390)</f>
        <v/>
      </c>
      <c r="S390" s="3">
        <f>IF(AND(O390&gt;0;K390&gt;0);R390/K390;"")</f>
        <v/>
      </c>
      <c r="T390" s="2" t="n"/>
      <c r="U390" s="3">
        <f>IF(AND(L390&gt;0;T390&gt;0);1-T390/L390;"")</f>
        <v/>
      </c>
      <c r="V390" s="3">
        <f>'_Настройки'!$B$4</f>
        <v/>
      </c>
      <c r="Z390" s="4">
        <f>IF(AND(W390&gt;0;X390&gt;0;Y390&gt;0);W390*X390*Y390/1000;"")</f>
        <v/>
      </c>
      <c r="AB390" s="2">
        <f>('_Настройки'!$B$6+MAX(0;Z390-1)*'_Настройки'!$B$7)*IF(AA390&gt;0;AA390;'_Настройки'!$B$10)</f>
        <v/>
      </c>
      <c r="AC390" s="2">
        <f>AB390*(1+'_Настройки'!$B$8)</f>
        <v/>
      </c>
      <c r="AD390" s="3">
        <f>'_Настройки'!$B$2</f>
        <v/>
      </c>
      <c r="AE390" s="2">
        <f>L390*AD390</f>
        <v/>
      </c>
      <c r="AF390" s="3">
        <f>'_Настройки'!$B$3</f>
        <v/>
      </c>
      <c r="AG390" s="3">
        <f>IFERROR(INDEX('_Комиссия_ВБ'!$B:$B;MATCH(C390;'_Комиссия_ВБ'!$A:$A;0));0,245)</f>
        <v/>
      </c>
      <c r="AH390" s="3">
        <f>AG390+AF390</f>
        <v/>
      </c>
      <c r="AI390" s="2">
        <f>L390*AH390</f>
        <v/>
      </c>
      <c r="AJ390" s="3">
        <f>IFERROR(INDEX('_Комиссия_ВБ'!$C:$C;MATCH(C390;'_Комиссия_ВБ'!$A:$A;0));0,28)</f>
        <v/>
      </c>
      <c r="AK390" s="3">
        <f>AJ390+AF390</f>
        <v/>
      </c>
      <c r="AL390" s="2">
        <f>L390*AK390</f>
        <v/>
      </c>
      <c r="AM390" s="2" t="n"/>
      <c r="AO390" s="3">
        <f>'_Настройки'!$B$5</f>
        <v/>
      </c>
      <c r="AP390" s="2">
        <f>IF(K390&gt;0;K390*AO390;0)</f>
        <v/>
      </c>
      <c r="AQ390" s="2">
        <f>L390-K390-AI390-AE390-IF(AM390&gt;0;AM390;'_Настройки'!$B$9)-AP390-AC390</f>
        <v/>
      </c>
      <c r="AR390" s="3">
        <f>IF(L390&gt;0;AQ390/L390;"")</f>
        <v/>
      </c>
      <c r="AS390" s="3">
        <f>IF(K390&gt;0;AQ390/K390;"")</f>
        <v/>
      </c>
      <c r="AT390" s="2">
        <f>L390-K390-AL390-AE390-IF(AM390&gt;0;AM390;'_Настройки'!$B$9)-AP390-AC390</f>
        <v/>
      </c>
      <c r="AU390" s="3">
        <f>IF(L390&gt;0;AT390/L390;"")</f>
        <v/>
      </c>
      <c r="AV390" s="3">
        <f>IF(K390&gt;0;AT390/K390;"")</f>
        <v/>
      </c>
    </row>
    <row r="391">
      <c r="A391">
        <f>ROW()-1</f>
        <v/>
      </c>
      <c r="K391" s="2">
        <f>IFERROR(INDEX('_Цены_закупки'!$B:$B;MATCH(C391;'_Цены_закупки'!$A:$A;0));"")</f>
        <v/>
      </c>
      <c r="L391" s="2" t="n"/>
      <c r="M391" s="2" t="n"/>
      <c r="N391" s="3">
        <f>IF(AND(M391&gt;0;L391&gt;0);1-L391/M391;"")</f>
        <v/>
      </c>
      <c r="O391" s="2">
        <f>IF(OR(Q391="";K391=0);"";(K391+IF(AM391&gt;0;AM391;'_Настройки'!$B$9)+AP391+AC391+Q391*K391)/(1-AH391-AD391))</f>
        <v/>
      </c>
      <c r="P391" s="2">
        <f>IF(O391="";"";O391-K391-O391*AH391-O391*AD391-IF(AM391&gt;0;AM391;'_Настройки'!$B$9)-AP391-AC391)</f>
        <v/>
      </c>
      <c r="Q391" s="3">
        <f>IF(AND(O391&gt;0;K391&gt;0);P391/K391;"")</f>
        <v/>
      </c>
      <c r="R391" s="2">
        <f>IF(O391="";"";O391-K391-O391*AK391-O391*AD391-IF(AM391&gt;0;AM391;'_Настройки'!$B$9)-AP391-AC391)</f>
        <v/>
      </c>
      <c r="S391" s="3">
        <f>IF(AND(O391&gt;0;K391&gt;0);R391/K391;"")</f>
        <v/>
      </c>
      <c r="T391" s="2" t="n"/>
      <c r="U391" s="3">
        <f>IF(AND(L391&gt;0;T391&gt;0);1-T391/L391;"")</f>
        <v/>
      </c>
      <c r="V391" s="3">
        <f>'_Настройки'!$B$4</f>
        <v/>
      </c>
      <c r="Z391" s="4">
        <f>IF(AND(W391&gt;0;X391&gt;0;Y391&gt;0);W391*X391*Y391/1000;"")</f>
        <v/>
      </c>
      <c r="AB391" s="2">
        <f>('_Настройки'!$B$6+MAX(0;Z391-1)*'_Настройки'!$B$7)*IF(AA391&gt;0;AA391;'_Настройки'!$B$10)</f>
        <v/>
      </c>
      <c r="AC391" s="2">
        <f>AB391*(1+'_Настройки'!$B$8)</f>
        <v/>
      </c>
      <c r="AD391" s="3">
        <f>'_Настройки'!$B$2</f>
        <v/>
      </c>
      <c r="AE391" s="2">
        <f>L391*AD391</f>
        <v/>
      </c>
      <c r="AF391" s="3">
        <f>'_Настройки'!$B$3</f>
        <v/>
      </c>
      <c r="AG391" s="3">
        <f>IFERROR(INDEX('_Комиссия_ВБ'!$B:$B;MATCH(C391;'_Комиссия_ВБ'!$A:$A;0));0,245)</f>
        <v/>
      </c>
      <c r="AH391" s="3">
        <f>AG391+AF391</f>
        <v/>
      </c>
      <c r="AI391" s="2">
        <f>L391*AH391</f>
        <v/>
      </c>
      <c r="AJ391" s="3">
        <f>IFERROR(INDEX('_Комиссия_ВБ'!$C:$C;MATCH(C391;'_Комиссия_ВБ'!$A:$A;0));0,28)</f>
        <v/>
      </c>
      <c r="AK391" s="3">
        <f>AJ391+AF391</f>
        <v/>
      </c>
      <c r="AL391" s="2">
        <f>L391*AK391</f>
        <v/>
      </c>
      <c r="AM391" s="2" t="n"/>
      <c r="AO391" s="3">
        <f>'_Настройки'!$B$5</f>
        <v/>
      </c>
      <c r="AP391" s="2">
        <f>IF(K391&gt;0;K391*AO391;0)</f>
        <v/>
      </c>
      <c r="AQ391" s="2">
        <f>L391-K391-AI391-AE391-IF(AM391&gt;0;AM391;'_Настройки'!$B$9)-AP391-AC391</f>
        <v/>
      </c>
      <c r="AR391" s="3">
        <f>IF(L391&gt;0;AQ391/L391;"")</f>
        <v/>
      </c>
      <c r="AS391" s="3">
        <f>IF(K391&gt;0;AQ391/K391;"")</f>
        <v/>
      </c>
      <c r="AT391" s="2">
        <f>L391-K391-AL391-AE391-IF(AM391&gt;0;AM391;'_Настройки'!$B$9)-AP391-AC391</f>
        <v/>
      </c>
      <c r="AU391" s="3">
        <f>IF(L391&gt;0;AT391/L391;"")</f>
        <v/>
      </c>
      <c r="AV391" s="3">
        <f>IF(K391&gt;0;AT391/K391;"")</f>
        <v/>
      </c>
    </row>
    <row r="392">
      <c r="A392">
        <f>ROW()-1</f>
        <v/>
      </c>
      <c r="K392" s="2">
        <f>IFERROR(INDEX('_Цены_закупки'!$B:$B;MATCH(C392;'_Цены_закупки'!$A:$A;0));"")</f>
        <v/>
      </c>
      <c r="L392" s="2" t="n"/>
      <c r="M392" s="2" t="n"/>
      <c r="N392" s="3">
        <f>IF(AND(M392&gt;0;L392&gt;0);1-L392/M392;"")</f>
        <v/>
      </c>
      <c r="O392" s="2">
        <f>IF(OR(Q392="";K392=0);"";(K392+IF(AM392&gt;0;AM392;'_Настройки'!$B$9)+AP392+AC392+Q392*K392)/(1-AH392-AD392))</f>
        <v/>
      </c>
      <c r="P392" s="2">
        <f>IF(O392="";"";O392-K392-O392*AH392-O392*AD392-IF(AM392&gt;0;AM392;'_Настройки'!$B$9)-AP392-AC392)</f>
        <v/>
      </c>
      <c r="Q392" s="3">
        <f>IF(AND(O392&gt;0;K392&gt;0);P392/K392;"")</f>
        <v/>
      </c>
      <c r="R392" s="2">
        <f>IF(O392="";"";O392-K392-O392*AK392-O392*AD392-IF(AM392&gt;0;AM392;'_Настройки'!$B$9)-AP392-AC392)</f>
        <v/>
      </c>
      <c r="S392" s="3">
        <f>IF(AND(O392&gt;0;K392&gt;0);R392/K392;"")</f>
        <v/>
      </c>
      <c r="T392" s="2" t="n"/>
      <c r="U392" s="3">
        <f>IF(AND(L392&gt;0;T392&gt;0);1-T392/L392;"")</f>
        <v/>
      </c>
      <c r="V392" s="3">
        <f>'_Настройки'!$B$4</f>
        <v/>
      </c>
      <c r="Z392" s="4">
        <f>IF(AND(W392&gt;0;X392&gt;0;Y392&gt;0);W392*X392*Y392/1000;"")</f>
        <v/>
      </c>
      <c r="AB392" s="2">
        <f>('_Настройки'!$B$6+MAX(0;Z392-1)*'_Настройки'!$B$7)*IF(AA392&gt;0;AA392;'_Настройки'!$B$10)</f>
        <v/>
      </c>
      <c r="AC392" s="2">
        <f>AB392*(1+'_Настройки'!$B$8)</f>
        <v/>
      </c>
      <c r="AD392" s="3">
        <f>'_Настройки'!$B$2</f>
        <v/>
      </c>
      <c r="AE392" s="2">
        <f>L392*AD392</f>
        <v/>
      </c>
      <c r="AF392" s="3">
        <f>'_Настройки'!$B$3</f>
        <v/>
      </c>
      <c r="AG392" s="3">
        <f>IFERROR(INDEX('_Комиссия_ВБ'!$B:$B;MATCH(C392;'_Комиссия_ВБ'!$A:$A;0));0,245)</f>
        <v/>
      </c>
      <c r="AH392" s="3">
        <f>AG392+AF392</f>
        <v/>
      </c>
      <c r="AI392" s="2">
        <f>L392*AH392</f>
        <v/>
      </c>
      <c r="AJ392" s="3">
        <f>IFERROR(INDEX('_Комиссия_ВБ'!$C:$C;MATCH(C392;'_Комиссия_ВБ'!$A:$A;0));0,28)</f>
        <v/>
      </c>
      <c r="AK392" s="3">
        <f>AJ392+AF392</f>
        <v/>
      </c>
      <c r="AL392" s="2">
        <f>L392*AK392</f>
        <v/>
      </c>
      <c r="AM392" s="2" t="n"/>
      <c r="AO392" s="3">
        <f>'_Настройки'!$B$5</f>
        <v/>
      </c>
      <c r="AP392" s="2">
        <f>IF(K392&gt;0;K392*AO392;0)</f>
        <v/>
      </c>
      <c r="AQ392" s="2">
        <f>L392-K392-AI392-AE392-IF(AM392&gt;0;AM392;'_Настройки'!$B$9)-AP392-AC392</f>
        <v/>
      </c>
      <c r="AR392" s="3">
        <f>IF(L392&gt;0;AQ392/L392;"")</f>
        <v/>
      </c>
      <c r="AS392" s="3">
        <f>IF(K392&gt;0;AQ392/K392;"")</f>
        <v/>
      </c>
      <c r="AT392" s="2">
        <f>L392-K392-AL392-AE392-IF(AM392&gt;0;AM392;'_Настройки'!$B$9)-AP392-AC392</f>
        <v/>
      </c>
      <c r="AU392" s="3">
        <f>IF(L392&gt;0;AT392/L392;"")</f>
        <v/>
      </c>
      <c r="AV392" s="3">
        <f>IF(K392&gt;0;AT392/K392;"")</f>
        <v/>
      </c>
    </row>
    <row r="393">
      <c r="A393">
        <f>ROW()-1</f>
        <v/>
      </c>
      <c r="K393" s="2">
        <f>IFERROR(INDEX('_Цены_закупки'!$B:$B;MATCH(C393;'_Цены_закупки'!$A:$A;0));"")</f>
        <v/>
      </c>
      <c r="L393" s="2" t="n"/>
      <c r="M393" s="2" t="n"/>
      <c r="N393" s="3">
        <f>IF(AND(M393&gt;0;L393&gt;0);1-L393/M393;"")</f>
        <v/>
      </c>
      <c r="O393" s="2">
        <f>IF(OR(Q393="";K393=0);"";(K393+IF(AM393&gt;0;AM393;'_Настройки'!$B$9)+AP393+AC393+Q393*K393)/(1-AH393-AD393))</f>
        <v/>
      </c>
      <c r="P393" s="2">
        <f>IF(O393="";"";O393-K393-O393*AH393-O393*AD393-IF(AM393&gt;0;AM393;'_Настройки'!$B$9)-AP393-AC393)</f>
        <v/>
      </c>
      <c r="Q393" s="3">
        <f>IF(AND(O393&gt;0;K393&gt;0);P393/K393;"")</f>
        <v/>
      </c>
      <c r="R393" s="2">
        <f>IF(O393="";"";O393-K393-O393*AK393-O393*AD393-IF(AM393&gt;0;AM393;'_Настройки'!$B$9)-AP393-AC393)</f>
        <v/>
      </c>
      <c r="S393" s="3">
        <f>IF(AND(O393&gt;0;K393&gt;0);R393/K393;"")</f>
        <v/>
      </c>
      <c r="T393" s="2" t="n"/>
      <c r="U393" s="3">
        <f>IF(AND(L393&gt;0;T393&gt;0);1-T393/L393;"")</f>
        <v/>
      </c>
      <c r="V393" s="3">
        <f>'_Настройки'!$B$4</f>
        <v/>
      </c>
      <c r="Z393" s="4">
        <f>IF(AND(W393&gt;0;X393&gt;0;Y393&gt;0);W393*X393*Y393/1000;"")</f>
        <v/>
      </c>
      <c r="AB393" s="2">
        <f>('_Настройки'!$B$6+MAX(0;Z393-1)*'_Настройки'!$B$7)*IF(AA393&gt;0;AA393;'_Настройки'!$B$10)</f>
        <v/>
      </c>
      <c r="AC393" s="2">
        <f>AB393*(1+'_Настройки'!$B$8)</f>
        <v/>
      </c>
      <c r="AD393" s="3">
        <f>'_Настройки'!$B$2</f>
        <v/>
      </c>
      <c r="AE393" s="2">
        <f>L393*AD393</f>
        <v/>
      </c>
      <c r="AF393" s="3">
        <f>'_Настройки'!$B$3</f>
        <v/>
      </c>
      <c r="AG393" s="3">
        <f>IFERROR(INDEX('_Комиссия_ВБ'!$B:$B;MATCH(C393;'_Комиссия_ВБ'!$A:$A;0));0,245)</f>
        <v/>
      </c>
      <c r="AH393" s="3">
        <f>AG393+AF393</f>
        <v/>
      </c>
      <c r="AI393" s="2">
        <f>L393*AH393</f>
        <v/>
      </c>
      <c r="AJ393" s="3">
        <f>IFERROR(INDEX('_Комиссия_ВБ'!$C:$C;MATCH(C393;'_Комиссия_ВБ'!$A:$A;0));0,28)</f>
        <v/>
      </c>
      <c r="AK393" s="3">
        <f>AJ393+AF393</f>
        <v/>
      </c>
      <c r="AL393" s="2">
        <f>L393*AK393</f>
        <v/>
      </c>
      <c r="AM393" s="2" t="n"/>
      <c r="AO393" s="3">
        <f>'_Настройки'!$B$5</f>
        <v/>
      </c>
      <c r="AP393" s="2">
        <f>IF(K393&gt;0;K393*AO393;0)</f>
        <v/>
      </c>
      <c r="AQ393" s="2">
        <f>L393-K393-AI393-AE393-IF(AM393&gt;0;AM393;'_Настройки'!$B$9)-AP393-AC393</f>
        <v/>
      </c>
      <c r="AR393" s="3">
        <f>IF(L393&gt;0;AQ393/L393;"")</f>
        <v/>
      </c>
      <c r="AS393" s="3">
        <f>IF(K393&gt;0;AQ393/K393;"")</f>
        <v/>
      </c>
      <c r="AT393" s="2">
        <f>L393-K393-AL393-AE393-IF(AM393&gt;0;AM393;'_Настройки'!$B$9)-AP393-AC393</f>
        <v/>
      </c>
      <c r="AU393" s="3">
        <f>IF(L393&gt;0;AT393/L393;"")</f>
        <v/>
      </c>
      <c r="AV393" s="3">
        <f>IF(K393&gt;0;AT393/K393;"")</f>
        <v/>
      </c>
    </row>
    <row r="394">
      <c r="A394">
        <f>ROW()-1</f>
        <v/>
      </c>
      <c r="K394" s="2">
        <f>IFERROR(INDEX('_Цены_закупки'!$B:$B;MATCH(C394;'_Цены_закупки'!$A:$A;0));"")</f>
        <v/>
      </c>
      <c r="L394" s="2" t="n"/>
      <c r="M394" s="2" t="n"/>
      <c r="N394" s="3">
        <f>IF(AND(M394&gt;0;L394&gt;0);1-L394/M394;"")</f>
        <v/>
      </c>
      <c r="O394" s="2">
        <f>IF(OR(Q394="";K394=0);"";(K394+IF(AM394&gt;0;AM394;'_Настройки'!$B$9)+AP394+AC394+Q394*K394)/(1-AH394-AD394))</f>
        <v/>
      </c>
      <c r="P394" s="2">
        <f>IF(O394="";"";O394-K394-O394*AH394-O394*AD394-IF(AM394&gt;0;AM394;'_Настройки'!$B$9)-AP394-AC394)</f>
        <v/>
      </c>
      <c r="Q394" s="3">
        <f>IF(AND(O394&gt;0;K394&gt;0);P394/K394;"")</f>
        <v/>
      </c>
      <c r="R394" s="2">
        <f>IF(O394="";"";O394-K394-O394*AK394-O394*AD394-IF(AM394&gt;0;AM394;'_Настройки'!$B$9)-AP394-AC394)</f>
        <v/>
      </c>
      <c r="S394" s="3">
        <f>IF(AND(O394&gt;0;K394&gt;0);R394/K394;"")</f>
        <v/>
      </c>
      <c r="T394" s="2" t="n"/>
      <c r="U394" s="3">
        <f>IF(AND(L394&gt;0;T394&gt;0);1-T394/L394;"")</f>
        <v/>
      </c>
      <c r="V394" s="3">
        <f>'_Настройки'!$B$4</f>
        <v/>
      </c>
      <c r="Z394" s="4">
        <f>IF(AND(W394&gt;0;X394&gt;0;Y394&gt;0);W394*X394*Y394/1000;"")</f>
        <v/>
      </c>
      <c r="AB394" s="2">
        <f>('_Настройки'!$B$6+MAX(0;Z394-1)*'_Настройки'!$B$7)*IF(AA394&gt;0;AA394;'_Настройки'!$B$10)</f>
        <v/>
      </c>
      <c r="AC394" s="2">
        <f>AB394*(1+'_Настройки'!$B$8)</f>
        <v/>
      </c>
      <c r="AD394" s="3">
        <f>'_Настройки'!$B$2</f>
        <v/>
      </c>
      <c r="AE394" s="2">
        <f>L394*AD394</f>
        <v/>
      </c>
      <c r="AF394" s="3">
        <f>'_Настройки'!$B$3</f>
        <v/>
      </c>
      <c r="AG394" s="3">
        <f>IFERROR(INDEX('_Комиссия_ВБ'!$B:$B;MATCH(C394;'_Комиссия_ВБ'!$A:$A;0));0,245)</f>
        <v/>
      </c>
      <c r="AH394" s="3">
        <f>AG394+AF394</f>
        <v/>
      </c>
      <c r="AI394" s="2">
        <f>L394*AH394</f>
        <v/>
      </c>
      <c r="AJ394" s="3">
        <f>IFERROR(INDEX('_Комиссия_ВБ'!$C:$C;MATCH(C394;'_Комиссия_ВБ'!$A:$A;0));0,28)</f>
        <v/>
      </c>
      <c r="AK394" s="3">
        <f>AJ394+AF394</f>
        <v/>
      </c>
      <c r="AL394" s="2">
        <f>L394*AK394</f>
        <v/>
      </c>
      <c r="AM394" s="2" t="n"/>
      <c r="AO394" s="3">
        <f>'_Настройки'!$B$5</f>
        <v/>
      </c>
      <c r="AP394" s="2">
        <f>IF(K394&gt;0;K394*AO394;0)</f>
        <v/>
      </c>
      <c r="AQ394" s="2">
        <f>L394-K394-AI394-AE394-IF(AM394&gt;0;AM394;'_Настройки'!$B$9)-AP394-AC394</f>
        <v/>
      </c>
      <c r="AR394" s="3">
        <f>IF(L394&gt;0;AQ394/L394;"")</f>
        <v/>
      </c>
      <c r="AS394" s="3">
        <f>IF(K394&gt;0;AQ394/K394;"")</f>
        <v/>
      </c>
      <c r="AT394" s="2">
        <f>L394-K394-AL394-AE394-IF(AM394&gt;0;AM394;'_Настройки'!$B$9)-AP394-AC394</f>
        <v/>
      </c>
      <c r="AU394" s="3">
        <f>IF(L394&gt;0;AT394/L394;"")</f>
        <v/>
      </c>
      <c r="AV394" s="3">
        <f>IF(K394&gt;0;AT394/K394;"")</f>
        <v/>
      </c>
    </row>
    <row r="395">
      <c r="A395">
        <f>ROW()-1</f>
        <v/>
      </c>
      <c r="K395" s="2">
        <f>IFERROR(INDEX('_Цены_закупки'!$B:$B;MATCH(C395;'_Цены_закупки'!$A:$A;0));"")</f>
        <v/>
      </c>
      <c r="L395" s="2" t="n"/>
      <c r="M395" s="2" t="n"/>
      <c r="N395" s="3">
        <f>IF(AND(M395&gt;0;L395&gt;0);1-L395/M395;"")</f>
        <v/>
      </c>
      <c r="O395" s="2">
        <f>IF(OR(Q395="";K395=0);"";(K395+IF(AM395&gt;0;AM395;'_Настройки'!$B$9)+AP395+AC395+Q395*K395)/(1-AH395-AD395))</f>
        <v/>
      </c>
      <c r="P395" s="2">
        <f>IF(O395="";"";O395-K395-O395*AH395-O395*AD395-IF(AM395&gt;0;AM395;'_Настройки'!$B$9)-AP395-AC395)</f>
        <v/>
      </c>
      <c r="Q395" s="3">
        <f>IF(AND(O395&gt;0;K395&gt;0);P395/K395;"")</f>
        <v/>
      </c>
      <c r="R395" s="2">
        <f>IF(O395="";"";O395-K395-O395*AK395-O395*AD395-IF(AM395&gt;0;AM395;'_Настройки'!$B$9)-AP395-AC395)</f>
        <v/>
      </c>
      <c r="S395" s="3">
        <f>IF(AND(O395&gt;0;K395&gt;0);R395/K395;"")</f>
        <v/>
      </c>
      <c r="T395" s="2" t="n"/>
      <c r="U395" s="3">
        <f>IF(AND(L395&gt;0;T395&gt;0);1-T395/L395;"")</f>
        <v/>
      </c>
      <c r="V395" s="3">
        <f>'_Настройки'!$B$4</f>
        <v/>
      </c>
      <c r="Z395" s="4">
        <f>IF(AND(W395&gt;0;X395&gt;0;Y395&gt;0);W395*X395*Y395/1000;"")</f>
        <v/>
      </c>
      <c r="AB395" s="2">
        <f>('_Настройки'!$B$6+MAX(0;Z395-1)*'_Настройки'!$B$7)*IF(AA395&gt;0;AA395;'_Настройки'!$B$10)</f>
        <v/>
      </c>
      <c r="AC395" s="2">
        <f>AB395*(1+'_Настройки'!$B$8)</f>
        <v/>
      </c>
      <c r="AD395" s="3">
        <f>'_Настройки'!$B$2</f>
        <v/>
      </c>
      <c r="AE395" s="2">
        <f>L395*AD395</f>
        <v/>
      </c>
      <c r="AF395" s="3">
        <f>'_Настройки'!$B$3</f>
        <v/>
      </c>
      <c r="AG395" s="3">
        <f>IFERROR(INDEX('_Комиссия_ВБ'!$B:$B;MATCH(C395;'_Комиссия_ВБ'!$A:$A;0));0,245)</f>
        <v/>
      </c>
      <c r="AH395" s="3">
        <f>AG395+AF395</f>
        <v/>
      </c>
      <c r="AI395" s="2">
        <f>L395*AH395</f>
        <v/>
      </c>
      <c r="AJ395" s="3">
        <f>IFERROR(INDEX('_Комиссия_ВБ'!$C:$C;MATCH(C395;'_Комиссия_ВБ'!$A:$A;0));0,28)</f>
        <v/>
      </c>
      <c r="AK395" s="3">
        <f>AJ395+AF395</f>
        <v/>
      </c>
      <c r="AL395" s="2">
        <f>L395*AK395</f>
        <v/>
      </c>
      <c r="AM395" s="2" t="n"/>
      <c r="AO395" s="3">
        <f>'_Настройки'!$B$5</f>
        <v/>
      </c>
      <c r="AP395" s="2">
        <f>IF(K395&gt;0;K395*AO395;0)</f>
        <v/>
      </c>
      <c r="AQ395" s="2">
        <f>L395-K395-AI395-AE395-IF(AM395&gt;0;AM395;'_Настройки'!$B$9)-AP395-AC395</f>
        <v/>
      </c>
      <c r="AR395" s="3">
        <f>IF(L395&gt;0;AQ395/L395;"")</f>
        <v/>
      </c>
      <c r="AS395" s="3">
        <f>IF(K395&gt;0;AQ395/K395;"")</f>
        <v/>
      </c>
      <c r="AT395" s="2">
        <f>L395-K395-AL395-AE395-IF(AM395&gt;0;AM395;'_Настройки'!$B$9)-AP395-AC395</f>
        <v/>
      </c>
      <c r="AU395" s="3">
        <f>IF(L395&gt;0;AT395/L395;"")</f>
        <v/>
      </c>
      <c r="AV395" s="3">
        <f>IF(K395&gt;0;AT395/K395;"")</f>
        <v/>
      </c>
    </row>
    <row r="396">
      <c r="A396">
        <f>ROW()-1</f>
        <v/>
      </c>
      <c r="K396" s="2">
        <f>IFERROR(INDEX('_Цены_закупки'!$B:$B;MATCH(C396;'_Цены_закупки'!$A:$A;0));"")</f>
        <v/>
      </c>
      <c r="L396" s="2" t="n"/>
      <c r="M396" s="2" t="n"/>
      <c r="N396" s="3">
        <f>IF(AND(M396&gt;0;L396&gt;0);1-L396/M396;"")</f>
        <v/>
      </c>
      <c r="O396" s="2">
        <f>IF(OR(Q396="";K396=0);"";(K396+IF(AM396&gt;0;AM396;'_Настройки'!$B$9)+AP396+AC396+Q396*K396)/(1-AH396-AD396))</f>
        <v/>
      </c>
      <c r="P396" s="2">
        <f>IF(O396="";"";O396-K396-O396*AH396-O396*AD396-IF(AM396&gt;0;AM396;'_Настройки'!$B$9)-AP396-AC396)</f>
        <v/>
      </c>
      <c r="Q396" s="3">
        <f>IF(AND(O396&gt;0;K396&gt;0);P396/K396;"")</f>
        <v/>
      </c>
      <c r="R396" s="2">
        <f>IF(O396="";"";O396-K396-O396*AK396-O396*AD396-IF(AM396&gt;0;AM396;'_Настройки'!$B$9)-AP396-AC396)</f>
        <v/>
      </c>
      <c r="S396" s="3">
        <f>IF(AND(O396&gt;0;K396&gt;0);R396/K396;"")</f>
        <v/>
      </c>
      <c r="T396" s="2" t="n"/>
      <c r="U396" s="3">
        <f>IF(AND(L396&gt;0;T396&gt;0);1-T396/L396;"")</f>
        <v/>
      </c>
      <c r="V396" s="3">
        <f>'_Настройки'!$B$4</f>
        <v/>
      </c>
      <c r="Z396" s="4">
        <f>IF(AND(W396&gt;0;X396&gt;0;Y396&gt;0);W396*X396*Y396/1000;"")</f>
        <v/>
      </c>
      <c r="AB396" s="2">
        <f>('_Настройки'!$B$6+MAX(0;Z396-1)*'_Настройки'!$B$7)*IF(AA396&gt;0;AA396;'_Настройки'!$B$10)</f>
        <v/>
      </c>
      <c r="AC396" s="2">
        <f>AB396*(1+'_Настройки'!$B$8)</f>
        <v/>
      </c>
      <c r="AD396" s="3">
        <f>'_Настройки'!$B$2</f>
        <v/>
      </c>
      <c r="AE396" s="2">
        <f>L396*AD396</f>
        <v/>
      </c>
      <c r="AF396" s="3">
        <f>'_Настройки'!$B$3</f>
        <v/>
      </c>
      <c r="AG396" s="3">
        <f>IFERROR(INDEX('_Комиссия_ВБ'!$B:$B;MATCH(C396;'_Комиссия_ВБ'!$A:$A;0));0,245)</f>
        <v/>
      </c>
      <c r="AH396" s="3">
        <f>AG396+AF396</f>
        <v/>
      </c>
      <c r="AI396" s="2">
        <f>L396*AH396</f>
        <v/>
      </c>
      <c r="AJ396" s="3">
        <f>IFERROR(INDEX('_Комиссия_ВБ'!$C:$C;MATCH(C396;'_Комиссия_ВБ'!$A:$A;0));0,28)</f>
        <v/>
      </c>
      <c r="AK396" s="3">
        <f>AJ396+AF396</f>
        <v/>
      </c>
      <c r="AL396" s="2">
        <f>L396*AK396</f>
        <v/>
      </c>
      <c r="AM396" s="2" t="n"/>
      <c r="AO396" s="3">
        <f>'_Настройки'!$B$5</f>
        <v/>
      </c>
      <c r="AP396" s="2">
        <f>IF(K396&gt;0;K396*AO396;0)</f>
        <v/>
      </c>
      <c r="AQ396" s="2">
        <f>L396-K396-AI396-AE396-IF(AM396&gt;0;AM396;'_Настройки'!$B$9)-AP396-AC396</f>
        <v/>
      </c>
      <c r="AR396" s="3">
        <f>IF(L396&gt;0;AQ396/L396;"")</f>
        <v/>
      </c>
      <c r="AS396" s="3">
        <f>IF(K396&gt;0;AQ396/K396;"")</f>
        <v/>
      </c>
      <c r="AT396" s="2">
        <f>L396-K396-AL396-AE396-IF(AM396&gt;0;AM396;'_Настройки'!$B$9)-AP396-AC396</f>
        <v/>
      </c>
      <c r="AU396" s="3">
        <f>IF(L396&gt;0;AT396/L396;"")</f>
        <v/>
      </c>
      <c r="AV396" s="3">
        <f>IF(K396&gt;0;AT396/K396;"")</f>
        <v/>
      </c>
    </row>
    <row r="397">
      <c r="A397">
        <f>ROW()-1</f>
        <v/>
      </c>
      <c r="K397" s="2">
        <f>IFERROR(INDEX('_Цены_закупки'!$B:$B;MATCH(C397;'_Цены_закупки'!$A:$A;0));"")</f>
        <v/>
      </c>
      <c r="L397" s="2" t="n"/>
      <c r="M397" s="2" t="n"/>
      <c r="N397" s="3">
        <f>IF(AND(M397&gt;0;L397&gt;0);1-L397/M397;"")</f>
        <v/>
      </c>
      <c r="O397" s="2">
        <f>IF(OR(Q397="";K397=0);"";(K397+IF(AM397&gt;0;AM397;'_Настройки'!$B$9)+AP397+AC397+Q397*K397)/(1-AH397-AD397))</f>
        <v/>
      </c>
      <c r="P397" s="2">
        <f>IF(O397="";"";O397-K397-O397*AH397-O397*AD397-IF(AM397&gt;0;AM397;'_Настройки'!$B$9)-AP397-AC397)</f>
        <v/>
      </c>
      <c r="Q397" s="3">
        <f>IF(AND(O397&gt;0;K397&gt;0);P397/K397;"")</f>
        <v/>
      </c>
      <c r="R397" s="2">
        <f>IF(O397="";"";O397-K397-O397*AK397-O397*AD397-IF(AM397&gt;0;AM397;'_Настройки'!$B$9)-AP397-AC397)</f>
        <v/>
      </c>
      <c r="S397" s="3">
        <f>IF(AND(O397&gt;0;K397&gt;0);R397/K397;"")</f>
        <v/>
      </c>
      <c r="T397" s="2" t="n"/>
      <c r="U397" s="3">
        <f>IF(AND(L397&gt;0;T397&gt;0);1-T397/L397;"")</f>
        <v/>
      </c>
      <c r="V397" s="3">
        <f>'_Настройки'!$B$4</f>
        <v/>
      </c>
      <c r="Z397" s="4">
        <f>IF(AND(W397&gt;0;X397&gt;0;Y397&gt;0);W397*X397*Y397/1000;"")</f>
        <v/>
      </c>
      <c r="AB397" s="2">
        <f>('_Настройки'!$B$6+MAX(0;Z397-1)*'_Настройки'!$B$7)*IF(AA397&gt;0;AA397;'_Настройки'!$B$10)</f>
        <v/>
      </c>
      <c r="AC397" s="2">
        <f>AB397*(1+'_Настройки'!$B$8)</f>
        <v/>
      </c>
      <c r="AD397" s="3">
        <f>'_Настройки'!$B$2</f>
        <v/>
      </c>
      <c r="AE397" s="2">
        <f>L397*AD397</f>
        <v/>
      </c>
      <c r="AF397" s="3">
        <f>'_Настройки'!$B$3</f>
        <v/>
      </c>
      <c r="AG397" s="3">
        <f>IFERROR(INDEX('_Комиссия_ВБ'!$B:$B;MATCH(C397;'_Комиссия_ВБ'!$A:$A;0));0,245)</f>
        <v/>
      </c>
      <c r="AH397" s="3">
        <f>AG397+AF397</f>
        <v/>
      </c>
      <c r="AI397" s="2">
        <f>L397*AH397</f>
        <v/>
      </c>
      <c r="AJ397" s="3">
        <f>IFERROR(INDEX('_Комиссия_ВБ'!$C:$C;MATCH(C397;'_Комиссия_ВБ'!$A:$A;0));0,28)</f>
        <v/>
      </c>
      <c r="AK397" s="3">
        <f>AJ397+AF397</f>
        <v/>
      </c>
      <c r="AL397" s="2">
        <f>L397*AK397</f>
        <v/>
      </c>
      <c r="AM397" s="2" t="n"/>
      <c r="AO397" s="3">
        <f>'_Настройки'!$B$5</f>
        <v/>
      </c>
      <c r="AP397" s="2">
        <f>IF(K397&gt;0;K397*AO397;0)</f>
        <v/>
      </c>
      <c r="AQ397" s="2">
        <f>L397-K397-AI397-AE397-IF(AM397&gt;0;AM397;'_Настройки'!$B$9)-AP397-AC397</f>
        <v/>
      </c>
      <c r="AR397" s="3">
        <f>IF(L397&gt;0;AQ397/L397;"")</f>
        <v/>
      </c>
      <c r="AS397" s="3">
        <f>IF(K397&gt;0;AQ397/K397;"")</f>
        <v/>
      </c>
      <c r="AT397" s="2">
        <f>L397-K397-AL397-AE397-IF(AM397&gt;0;AM397;'_Настройки'!$B$9)-AP397-AC397</f>
        <v/>
      </c>
      <c r="AU397" s="3">
        <f>IF(L397&gt;0;AT397/L397;"")</f>
        <v/>
      </c>
      <c r="AV397" s="3">
        <f>IF(K397&gt;0;AT397/K397;"")</f>
        <v/>
      </c>
    </row>
    <row r="398">
      <c r="A398">
        <f>ROW()-1</f>
        <v/>
      </c>
      <c r="K398" s="2">
        <f>IFERROR(INDEX('_Цены_закупки'!$B:$B;MATCH(C398;'_Цены_закупки'!$A:$A;0));"")</f>
        <v/>
      </c>
      <c r="L398" s="2" t="n"/>
      <c r="M398" s="2" t="n"/>
      <c r="N398" s="3">
        <f>IF(AND(M398&gt;0;L398&gt;0);1-L398/M398;"")</f>
        <v/>
      </c>
      <c r="O398" s="2">
        <f>IF(OR(Q398="";K398=0);"";(K398+IF(AM398&gt;0;AM398;'_Настройки'!$B$9)+AP398+AC398+Q398*K398)/(1-AH398-AD398))</f>
        <v/>
      </c>
      <c r="P398" s="2">
        <f>IF(O398="";"";O398-K398-O398*AH398-O398*AD398-IF(AM398&gt;0;AM398;'_Настройки'!$B$9)-AP398-AC398)</f>
        <v/>
      </c>
      <c r="Q398" s="3">
        <f>IF(AND(O398&gt;0;K398&gt;0);P398/K398;"")</f>
        <v/>
      </c>
      <c r="R398" s="2">
        <f>IF(O398="";"";O398-K398-O398*AK398-O398*AD398-IF(AM398&gt;0;AM398;'_Настройки'!$B$9)-AP398-AC398)</f>
        <v/>
      </c>
      <c r="S398" s="3">
        <f>IF(AND(O398&gt;0;K398&gt;0);R398/K398;"")</f>
        <v/>
      </c>
      <c r="T398" s="2" t="n"/>
      <c r="U398" s="3">
        <f>IF(AND(L398&gt;0;T398&gt;0);1-T398/L398;"")</f>
        <v/>
      </c>
      <c r="V398" s="3">
        <f>'_Настройки'!$B$4</f>
        <v/>
      </c>
      <c r="Z398" s="4">
        <f>IF(AND(W398&gt;0;X398&gt;0;Y398&gt;0);W398*X398*Y398/1000;"")</f>
        <v/>
      </c>
      <c r="AB398" s="2">
        <f>('_Настройки'!$B$6+MAX(0;Z398-1)*'_Настройки'!$B$7)*IF(AA398&gt;0;AA398;'_Настройки'!$B$10)</f>
        <v/>
      </c>
      <c r="AC398" s="2">
        <f>AB398*(1+'_Настройки'!$B$8)</f>
        <v/>
      </c>
      <c r="AD398" s="3">
        <f>'_Настройки'!$B$2</f>
        <v/>
      </c>
      <c r="AE398" s="2">
        <f>L398*AD398</f>
        <v/>
      </c>
      <c r="AF398" s="3">
        <f>'_Настройки'!$B$3</f>
        <v/>
      </c>
      <c r="AG398" s="3">
        <f>IFERROR(INDEX('_Комиссия_ВБ'!$B:$B;MATCH(C398;'_Комиссия_ВБ'!$A:$A;0));0,245)</f>
        <v/>
      </c>
      <c r="AH398" s="3">
        <f>AG398+AF398</f>
        <v/>
      </c>
      <c r="AI398" s="2">
        <f>L398*AH398</f>
        <v/>
      </c>
      <c r="AJ398" s="3">
        <f>IFERROR(INDEX('_Комиссия_ВБ'!$C:$C;MATCH(C398;'_Комиссия_ВБ'!$A:$A;0));0,28)</f>
        <v/>
      </c>
      <c r="AK398" s="3">
        <f>AJ398+AF398</f>
        <v/>
      </c>
      <c r="AL398" s="2">
        <f>L398*AK398</f>
        <v/>
      </c>
      <c r="AM398" s="2" t="n"/>
      <c r="AO398" s="3">
        <f>'_Настройки'!$B$5</f>
        <v/>
      </c>
      <c r="AP398" s="2">
        <f>IF(K398&gt;0;K398*AO398;0)</f>
        <v/>
      </c>
      <c r="AQ398" s="2">
        <f>L398-K398-AI398-AE398-IF(AM398&gt;0;AM398;'_Настройки'!$B$9)-AP398-AC398</f>
        <v/>
      </c>
      <c r="AR398" s="3">
        <f>IF(L398&gt;0;AQ398/L398;"")</f>
        <v/>
      </c>
      <c r="AS398" s="3">
        <f>IF(K398&gt;0;AQ398/K398;"")</f>
        <v/>
      </c>
      <c r="AT398" s="2">
        <f>L398-K398-AL398-AE398-IF(AM398&gt;0;AM398;'_Настройки'!$B$9)-AP398-AC398</f>
        <v/>
      </c>
      <c r="AU398" s="3">
        <f>IF(L398&gt;0;AT398/L398;"")</f>
        <v/>
      </c>
      <c r="AV398" s="3">
        <f>IF(K398&gt;0;AT398/K398;"")</f>
        <v/>
      </c>
    </row>
    <row r="399">
      <c r="A399">
        <f>ROW()-1</f>
        <v/>
      </c>
      <c r="K399" s="2">
        <f>IFERROR(INDEX('_Цены_закупки'!$B:$B;MATCH(C399;'_Цены_закупки'!$A:$A;0));"")</f>
        <v/>
      </c>
      <c r="L399" s="2" t="n"/>
      <c r="M399" s="2" t="n"/>
      <c r="N399" s="3">
        <f>IF(AND(M399&gt;0;L399&gt;0);1-L399/M399;"")</f>
        <v/>
      </c>
      <c r="O399" s="2">
        <f>IF(OR(Q399="";K399=0);"";(K399+IF(AM399&gt;0;AM399;'_Настройки'!$B$9)+AP399+AC399+Q399*K399)/(1-AH399-AD399))</f>
        <v/>
      </c>
      <c r="P399" s="2">
        <f>IF(O399="";"";O399-K399-O399*AH399-O399*AD399-IF(AM399&gt;0;AM399;'_Настройки'!$B$9)-AP399-AC399)</f>
        <v/>
      </c>
      <c r="Q399" s="3">
        <f>IF(AND(O399&gt;0;K399&gt;0);P399/K399;"")</f>
        <v/>
      </c>
      <c r="R399" s="2">
        <f>IF(O399="";"";O399-K399-O399*AK399-O399*AD399-IF(AM399&gt;0;AM399;'_Настройки'!$B$9)-AP399-AC399)</f>
        <v/>
      </c>
      <c r="S399" s="3">
        <f>IF(AND(O399&gt;0;K399&gt;0);R399/K399;"")</f>
        <v/>
      </c>
      <c r="T399" s="2" t="n"/>
      <c r="U399" s="3">
        <f>IF(AND(L399&gt;0;T399&gt;0);1-T399/L399;"")</f>
        <v/>
      </c>
      <c r="V399" s="3">
        <f>'_Настройки'!$B$4</f>
        <v/>
      </c>
      <c r="Z399" s="4">
        <f>IF(AND(W399&gt;0;X399&gt;0;Y399&gt;0);W399*X399*Y399/1000;"")</f>
        <v/>
      </c>
      <c r="AB399" s="2">
        <f>('_Настройки'!$B$6+MAX(0;Z399-1)*'_Настройки'!$B$7)*IF(AA399&gt;0;AA399;'_Настройки'!$B$10)</f>
        <v/>
      </c>
      <c r="AC399" s="2">
        <f>AB399*(1+'_Настройки'!$B$8)</f>
        <v/>
      </c>
      <c r="AD399" s="3">
        <f>'_Настройки'!$B$2</f>
        <v/>
      </c>
      <c r="AE399" s="2">
        <f>L399*AD399</f>
        <v/>
      </c>
      <c r="AF399" s="3">
        <f>'_Настройки'!$B$3</f>
        <v/>
      </c>
      <c r="AG399" s="3">
        <f>IFERROR(INDEX('_Комиссия_ВБ'!$B:$B;MATCH(C399;'_Комиссия_ВБ'!$A:$A;0));0,245)</f>
        <v/>
      </c>
      <c r="AH399" s="3">
        <f>AG399+AF399</f>
        <v/>
      </c>
      <c r="AI399" s="2">
        <f>L399*AH399</f>
        <v/>
      </c>
      <c r="AJ399" s="3">
        <f>IFERROR(INDEX('_Комиссия_ВБ'!$C:$C;MATCH(C399;'_Комиссия_ВБ'!$A:$A;0));0,28)</f>
        <v/>
      </c>
      <c r="AK399" s="3">
        <f>AJ399+AF399</f>
        <v/>
      </c>
      <c r="AL399" s="2">
        <f>L399*AK399</f>
        <v/>
      </c>
      <c r="AM399" s="2" t="n"/>
      <c r="AO399" s="3">
        <f>'_Настройки'!$B$5</f>
        <v/>
      </c>
      <c r="AP399" s="2">
        <f>IF(K399&gt;0;K399*AO399;0)</f>
        <v/>
      </c>
      <c r="AQ399" s="2">
        <f>L399-K399-AI399-AE399-IF(AM399&gt;0;AM399;'_Настройки'!$B$9)-AP399-AC399</f>
        <v/>
      </c>
      <c r="AR399" s="3">
        <f>IF(L399&gt;0;AQ399/L399;"")</f>
        <v/>
      </c>
      <c r="AS399" s="3">
        <f>IF(K399&gt;0;AQ399/K399;"")</f>
        <v/>
      </c>
      <c r="AT399" s="2">
        <f>L399-K399-AL399-AE399-IF(AM399&gt;0;AM399;'_Настройки'!$B$9)-AP399-AC399</f>
        <v/>
      </c>
      <c r="AU399" s="3">
        <f>IF(L399&gt;0;AT399/L399;"")</f>
        <v/>
      </c>
      <c r="AV399" s="3">
        <f>IF(K399&gt;0;AT399/K399;"")</f>
        <v/>
      </c>
    </row>
    <row r="400">
      <c r="A400">
        <f>ROW()-1</f>
        <v/>
      </c>
      <c r="K400" s="2">
        <f>IFERROR(INDEX('_Цены_закупки'!$B:$B;MATCH(C400;'_Цены_закупки'!$A:$A;0));"")</f>
        <v/>
      </c>
      <c r="L400" s="2" t="n"/>
      <c r="M400" s="2" t="n"/>
      <c r="N400" s="3">
        <f>IF(AND(M400&gt;0;L400&gt;0);1-L400/M400;"")</f>
        <v/>
      </c>
      <c r="O400" s="2">
        <f>IF(OR(Q400="";K400=0);"";(K400+IF(AM400&gt;0;AM400;'_Настройки'!$B$9)+AP400+AC400+Q400*K400)/(1-AH400-AD400))</f>
        <v/>
      </c>
      <c r="P400" s="2">
        <f>IF(O400="";"";O400-K400-O400*AH400-O400*AD400-IF(AM400&gt;0;AM400;'_Настройки'!$B$9)-AP400-AC400)</f>
        <v/>
      </c>
      <c r="Q400" s="3">
        <f>IF(AND(O400&gt;0;K400&gt;0);P400/K400;"")</f>
        <v/>
      </c>
      <c r="R400" s="2">
        <f>IF(O400="";"";O400-K400-O400*AK400-O400*AD400-IF(AM400&gt;0;AM400;'_Настройки'!$B$9)-AP400-AC400)</f>
        <v/>
      </c>
      <c r="S400" s="3">
        <f>IF(AND(O400&gt;0;K400&gt;0);R400/K400;"")</f>
        <v/>
      </c>
      <c r="T400" s="2" t="n"/>
      <c r="U400" s="3">
        <f>IF(AND(L400&gt;0;T400&gt;0);1-T400/L400;"")</f>
        <v/>
      </c>
      <c r="V400" s="3">
        <f>'_Настройки'!$B$4</f>
        <v/>
      </c>
      <c r="Z400" s="4">
        <f>IF(AND(W400&gt;0;X400&gt;0;Y400&gt;0);W400*X400*Y400/1000;"")</f>
        <v/>
      </c>
      <c r="AB400" s="2">
        <f>('_Настройки'!$B$6+MAX(0;Z400-1)*'_Настройки'!$B$7)*IF(AA400&gt;0;AA400;'_Настройки'!$B$10)</f>
        <v/>
      </c>
      <c r="AC400" s="2">
        <f>AB400*(1+'_Настройки'!$B$8)</f>
        <v/>
      </c>
      <c r="AD400" s="3">
        <f>'_Настройки'!$B$2</f>
        <v/>
      </c>
      <c r="AE400" s="2">
        <f>L400*AD400</f>
        <v/>
      </c>
      <c r="AF400" s="3">
        <f>'_Настройки'!$B$3</f>
        <v/>
      </c>
      <c r="AG400" s="3">
        <f>IFERROR(INDEX('_Комиссия_ВБ'!$B:$B;MATCH(C400;'_Комиссия_ВБ'!$A:$A;0));0,245)</f>
        <v/>
      </c>
      <c r="AH400" s="3">
        <f>AG400+AF400</f>
        <v/>
      </c>
      <c r="AI400" s="2">
        <f>L400*AH400</f>
        <v/>
      </c>
      <c r="AJ400" s="3">
        <f>IFERROR(INDEX('_Комиссия_ВБ'!$C:$C;MATCH(C400;'_Комиссия_ВБ'!$A:$A;0));0,28)</f>
        <v/>
      </c>
      <c r="AK400" s="3">
        <f>AJ400+AF400</f>
        <v/>
      </c>
      <c r="AL400" s="2">
        <f>L400*AK400</f>
        <v/>
      </c>
      <c r="AM400" s="2" t="n"/>
      <c r="AO400" s="3">
        <f>'_Настройки'!$B$5</f>
        <v/>
      </c>
      <c r="AP400" s="2">
        <f>IF(K400&gt;0;K400*AO400;0)</f>
        <v/>
      </c>
      <c r="AQ400" s="2">
        <f>L400-K400-AI400-AE400-IF(AM400&gt;0;AM400;'_Настройки'!$B$9)-AP400-AC400</f>
        <v/>
      </c>
      <c r="AR400" s="3">
        <f>IF(L400&gt;0;AQ400/L400;"")</f>
        <v/>
      </c>
      <c r="AS400" s="3">
        <f>IF(K400&gt;0;AQ400/K400;"")</f>
        <v/>
      </c>
      <c r="AT400" s="2">
        <f>L400-K400-AL400-AE400-IF(AM400&gt;0;AM400;'_Настройки'!$B$9)-AP400-AC400</f>
        <v/>
      </c>
      <c r="AU400" s="3">
        <f>IF(L400&gt;0;AT400/L400;"")</f>
        <v/>
      </c>
      <c r="AV400" s="3">
        <f>IF(K400&gt;0;AT400/K400;"")</f>
        <v/>
      </c>
    </row>
    <row r="401">
      <c r="A401">
        <f>ROW()-1</f>
        <v/>
      </c>
      <c r="K401" s="2">
        <f>IFERROR(INDEX('_Цены_закупки'!$B:$B;MATCH(C401;'_Цены_закупки'!$A:$A;0));"")</f>
        <v/>
      </c>
      <c r="L401" s="2" t="n"/>
      <c r="M401" s="2" t="n"/>
      <c r="N401" s="3">
        <f>IF(AND(M401&gt;0;L401&gt;0);1-L401/M401;"")</f>
        <v/>
      </c>
      <c r="O401" s="2">
        <f>IF(OR(Q401="";K401=0);"";(K401+IF(AM401&gt;0;AM401;'_Настройки'!$B$9)+AP401+AC401+Q401*K401)/(1-AH401-AD401))</f>
        <v/>
      </c>
      <c r="P401" s="2">
        <f>IF(O401="";"";O401-K401-O401*AH401-O401*AD401-IF(AM401&gt;0;AM401;'_Настройки'!$B$9)-AP401-AC401)</f>
        <v/>
      </c>
      <c r="Q401" s="3">
        <f>IF(AND(O401&gt;0;K401&gt;0);P401/K401;"")</f>
        <v/>
      </c>
      <c r="R401" s="2">
        <f>IF(O401="";"";O401-K401-O401*AK401-O401*AD401-IF(AM401&gt;0;AM401;'_Настройки'!$B$9)-AP401-AC401)</f>
        <v/>
      </c>
      <c r="S401" s="3">
        <f>IF(AND(O401&gt;0;K401&gt;0);R401/K401;"")</f>
        <v/>
      </c>
      <c r="T401" s="2" t="n"/>
      <c r="U401" s="3">
        <f>IF(AND(L401&gt;0;T401&gt;0);1-T401/L401;"")</f>
        <v/>
      </c>
      <c r="V401" s="3">
        <f>'_Настройки'!$B$4</f>
        <v/>
      </c>
      <c r="Z401" s="4">
        <f>IF(AND(W401&gt;0;X401&gt;0;Y401&gt;0);W401*X401*Y401/1000;"")</f>
        <v/>
      </c>
      <c r="AB401" s="2">
        <f>('_Настройки'!$B$6+MAX(0;Z401-1)*'_Настройки'!$B$7)*IF(AA401&gt;0;AA401;'_Настройки'!$B$10)</f>
        <v/>
      </c>
      <c r="AC401" s="2">
        <f>AB401*(1+'_Настройки'!$B$8)</f>
        <v/>
      </c>
      <c r="AD401" s="3">
        <f>'_Настройки'!$B$2</f>
        <v/>
      </c>
      <c r="AE401" s="2">
        <f>L401*AD401</f>
        <v/>
      </c>
      <c r="AF401" s="3">
        <f>'_Настройки'!$B$3</f>
        <v/>
      </c>
      <c r="AG401" s="3">
        <f>IFERROR(INDEX('_Комиссия_ВБ'!$B:$B;MATCH(C401;'_Комиссия_ВБ'!$A:$A;0));0,245)</f>
        <v/>
      </c>
      <c r="AH401" s="3">
        <f>AG401+AF401</f>
        <v/>
      </c>
      <c r="AI401" s="2">
        <f>L401*AH401</f>
        <v/>
      </c>
      <c r="AJ401" s="3">
        <f>IFERROR(INDEX('_Комиссия_ВБ'!$C:$C;MATCH(C401;'_Комиссия_ВБ'!$A:$A;0));0,28)</f>
        <v/>
      </c>
      <c r="AK401" s="3">
        <f>AJ401+AF401</f>
        <v/>
      </c>
      <c r="AL401" s="2">
        <f>L401*AK401</f>
        <v/>
      </c>
      <c r="AM401" s="2" t="n"/>
      <c r="AO401" s="3">
        <f>'_Настройки'!$B$5</f>
        <v/>
      </c>
      <c r="AP401" s="2">
        <f>IF(K401&gt;0;K401*AO401;0)</f>
        <v/>
      </c>
      <c r="AQ401" s="2">
        <f>L401-K401-AI401-AE401-IF(AM401&gt;0;AM401;'_Настройки'!$B$9)-AP401-AC401</f>
        <v/>
      </c>
      <c r="AR401" s="3">
        <f>IF(L401&gt;0;AQ401/L401;"")</f>
        <v/>
      </c>
      <c r="AS401" s="3">
        <f>IF(K401&gt;0;AQ401/K401;"")</f>
        <v/>
      </c>
      <c r="AT401" s="2">
        <f>L401-K401-AL401-AE401-IF(AM401&gt;0;AM401;'_Настройки'!$B$9)-AP401-AC401</f>
        <v/>
      </c>
      <c r="AU401" s="3">
        <f>IF(L401&gt;0;AT401/L401;"")</f>
        <v/>
      </c>
      <c r="AV401" s="3">
        <f>IF(K401&gt;0;AT401/K401;"")</f>
        <v/>
      </c>
    </row>
    <row r="402">
      <c r="A402">
        <f>ROW()-1</f>
        <v/>
      </c>
      <c r="K402" s="2">
        <f>IFERROR(INDEX('_Цены_закупки'!$B:$B;MATCH(C402;'_Цены_закупки'!$A:$A;0));"")</f>
        <v/>
      </c>
      <c r="L402" s="2" t="n"/>
      <c r="M402" s="2" t="n"/>
      <c r="N402" s="3">
        <f>IF(AND(M402&gt;0;L402&gt;0);1-L402/M402;"")</f>
        <v/>
      </c>
      <c r="O402" s="2">
        <f>IF(OR(Q402="";K402=0);"";(K402+IF(AM402&gt;0;AM402;'_Настройки'!$B$9)+AP402+AC402+Q402*K402)/(1-AH402-AD402))</f>
        <v/>
      </c>
      <c r="P402" s="2">
        <f>IF(O402="";"";O402-K402-O402*AH402-O402*AD402-IF(AM402&gt;0;AM402;'_Настройки'!$B$9)-AP402-AC402)</f>
        <v/>
      </c>
      <c r="Q402" s="3">
        <f>IF(AND(O402&gt;0;K402&gt;0);P402/K402;"")</f>
        <v/>
      </c>
      <c r="R402" s="2">
        <f>IF(O402="";"";O402-K402-O402*AK402-O402*AD402-IF(AM402&gt;0;AM402;'_Настройки'!$B$9)-AP402-AC402)</f>
        <v/>
      </c>
      <c r="S402" s="3">
        <f>IF(AND(O402&gt;0;K402&gt;0);R402/K402;"")</f>
        <v/>
      </c>
      <c r="T402" s="2" t="n"/>
      <c r="U402" s="3">
        <f>IF(AND(L402&gt;0;T402&gt;0);1-T402/L402;"")</f>
        <v/>
      </c>
      <c r="V402" s="3">
        <f>'_Настройки'!$B$4</f>
        <v/>
      </c>
      <c r="Z402" s="4">
        <f>IF(AND(W402&gt;0;X402&gt;0;Y402&gt;0);W402*X402*Y402/1000;"")</f>
        <v/>
      </c>
      <c r="AB402" s="2">
        <f>('_Настройки'!$B$6+MAX(0;Z402-1)*'_Настройки'!$B$7)*IF(AA402&gt;0;AA402;'_Настройки'!$B$10)</f>
        <v/>
      </c>
      <c r="AC402" s="2">
        <f>AB402*(1+'_Настройки'!$B$8)</f>
        <v/>
      </c>
      <c r="AD402" s="3">
        <f>'_Настройки'!$B$2</f>
        <v/>
      </c>
      <c r="AE402" s="2">
        <f>L402*AD402</f>
        <v/>
      </c>
      <c r="AF402" s="3">
        <f>'_Настройки'!$B$3</f>
        <v/>
      </c>
      <c r="AG402" s="3">
        <f>IFERROR(INDEX('_Комиссия_ВБ'!$B:$B;MATCH(C402;'_Комиссия_ВБ'!$A:$A;0));0,245)</f>
        <v/>
      </c>
      <c r="AH402" s="3">
        <f>AG402+AF402</f>
        <v/>
      </c>
      <c r="AI402" s="2">
        <f>L402*AH402</f>
        <v/>
      </c>
      <c r="AJ402" s="3">
        <f>IFERROR(INDEX('_Комиссия_ВБ'!$C:$C;MATCH(C402;'_Комиссия_ВБ'!$A:$A;0));0,28)</f>
        <v/>
      </c>
      <c r="AK402" s="3">
        <f>AJ402+AF402</f>
        <v/>
      </c>
      <c r="AL402" s="2">
        <f>L402*AK402</f>
        <v/>
      </c>
      <c r="AM402" s="2" t="n"/>
      <c r="AO402" s="3">
        <f>'_Настройки'!$B$5</f>
        <v/>
      </c>
      <c r="AP402" s="2">
        <f>IF(K402&gt;0;K402*AO402;0)</f>
        <v/>
      </c>
      <c r="AQ402" s="2">
        <f>L402-K402-AI402-AE402-IF(AM402&gt;0;AM402;'_Настройки'!$B$9)-AP402-AC402</f>
        <v/>
      </c>
      <c r="AR402" s="3">
        <f>IF(L402&gt;0;AQ402/L402;"")</f>
        <v/>
      </c>
      <c r="AS402" s="3">
        <f>IF(K402&gt;0;AQ402/K402;"")</f>
        <v/>
      </c>
      <c r="AT402" s="2">
        <f>L402-K402-AL402-AE402-IF(AM402&gt;0;AM402;'_Настройки'!$B$9)-AP402-AC402</f>
        <v/>
      </c>
      <c r="AU402" s="3">
        <f>IF(L402&gt;0;AT402/L402;"")</f>
        <v/>
      </c>
      <c r="AV402" s="3">
        <f>IF(K402&gt;0;AT402/K402;"")</f>
        <v/>
      </c>
    </row>
    <row r="403">
      <c r="A403">
        <f>ROW()-1</f>
        <v/>
      </c>
      <c r="K403" s="2">
        <f>IFERROR(INDEX('_Цены_закупки'!$B:$B;MATCH(C403;'_Цены_закупки'!$A:$A;0));"")</f>
        <v/>
      </c>
      <c r="L403" s="2" t="n"/>
      <c r="M403" s="2" t="n"/>
      <c r="N403" s="3">
        <f>IF(AND(M403&gt;0;L403&gt;0);1-L403/M403;"")</f>
        <v/>
      </c>
      <c r="O403" s="2">
        <f>IF(OR(Q403="";K403=0);"";(K403+IF(AM403&gt;0;AM403;'_Настройки'!$B$9)+AP403+AC403+Q403*K403)/(1-AH403-AD403))</f>
        <v/>
      </c>
      <c r="P403" s="2">
        <f>IF(O403="";"";O403-K403-O403*AH403-O403*AD403-IF(AM403&gt;0;AM403;'_Настройки'!$B$9)-AP403-AC403)</f>
        <v/>
      </c>
      <c r="Q403" s="3">
        <f>IF(AND(O403&gt;0;K403&gt;0);P403/K403;"")</f>
        <v/>
      </c>
      <c r="R403" s="2">
        <f>IF(O403="";"";O403-K403-O403*AK403-O403*AD403-IF(AM403&gt;0;AM403;'_Настройки'!$B$9)-AP403-AC403)</f>
        <v/>
      </c>
      <c r="S403" s="3">
        <f>IF(AND(O403&gt;0;K403&gt;0);R403/K403;"")</f>
        <v/>
      </c>
      <c r="T403" s="2" t="n"/>
      <c r="U403" s="3">
        <f>IF(AND(L403&gt;0;T403&gt;0);1-T403/L403;"")</f>
        <v/>
      </c>
      <c r="V403" s="3">
        <f>'_Настройки'!$B$4</f>
        <v/>
      </c>
      <c r="Z403" s="4">
        <f>IF(AND(W403&gt;0;X403&gt;0;Y403&gt;0);W403*X403*Y403/1000;"")</f>
        <v/>
      </c>
      <c r="AB403" s="2">
        <f>('_Настройки'!$B$6+MAX(0;Z403-1)*'_Настройки'!$B$7)*IF(AA403&gt;0;AA403;'_Настройки'!$B$10)</f>
        <v/>
      </c>
      <c r="AC403" s="2">
        <f>AB403*(1+'_Настройки'!$B$8)</f>
        <v/>
      </c>
      <c r="AD403" s="3">
        <f>'_Настройки'!$B$2</f>
        <v/>
      </c>
      <c r="AE403" s="2">
        <f>L403*AD403</f>
        <v/>
      </c>
      <c r="AF403" s="3">
        <f>'_Настройки'!$B$3</f>
        <v/>
      </c>
      <c r="AG403" s="3">
        <f>IFERROR(INDEX('_Комиссия_ВБ'!$B:$B;MATCH(C403;'_Комиссия_ВБ'!$A:$A;0));0,245)</f>
        <v/>
      </c>
      <c r="AH403" s="3">
        <f>AG403+AF403</f>
        <v/>
      </c>
      <c r="AI403" s="2">
        <f>L403*AH403</f>
        <v/>
      </c>
      <c r="AJ403" s="3">
        <f>IFERROR(INDEX('_Комиссия_ВБ'!$C:$C;MATCH(C403;'_Комиссия_ВБ'!$A:$A;0));0,28)</f>
        <v/>
      </c>
      <c r="AK403" s="3">
        <f>AJ403+AF403</f>
        <v/>
      </c>
      <c r="AL403" s="2">
        <f>L403*AK403</f>
        <v/>
      </c>
      <c r="AM403" s="2" t="n"/>
      <c r="AO403" s="3">
        <f>'_Настройки'!$B$5</f>
        <v/>
      </c>
      <c r="AP403" s="2">
        <f>IF(K403&gt;0;K403*AO403;0)</f>
        <v/>
      </c>
      <c r="AQ403" s="2">
        <f>L403-K403-AI403-AE403-IF(AM403&gt;0;AM403;'_Настройки'!$B$9)-AP403-AC403</f>
        <v/>
      </c>
      <c r="AR403" s="3">
        <f>IF(L403&gt;0;AQ403/L403;"")</f>
        <v/>
      </c>
      <c r="AS403" s="3">
        <f>IF(K403&gt;0;AQ403/K403;"")</f>
        <v/>
      </c>
      <c r="AT403" s="2">
        <f>L403-K403-AL403-AE403-IF(AM403&gt;0;AM403;'_Настройки'!$B$9)-AP403-AC403</f>
        <v/>
      </c>
      <c r="AU403" s="3">
        <f>IF(L403&gt;0;AT403/L403;"")</f>
        <v/>
      </c>
      <c r="AV403" s="3">
        <f>IF(K403&gt;0;AT403/K403;"")</f>
        <v/>
      </c>
    </row>
    <row r="404">
      <c r="A404">
        <f>ROW()-1</f>
        <v/>
      </c>
      <c r="K404" s="2">
        <f>IFERROR(INDEX('_Цены_закупки'!$B:$B;MATCH(C404;'_Цены_закупки'!$A:$A;0));"")</f>
        <v/>
      </c>
      <c r="L404" s="2" t="n"/>
      <c r="M404" s="2" t="n"/>
      <c r="N404" s="3">
        <f>IF(AND(M404&gt;0;L404&gt;0);1-L404/M404;"")</f>
        <v/>
      </c>
      <c r="O404" s="2">
        <f>IF(OR(Q404="";K404=0);"";(K404+IF(AM404&gt;0;AM404;'_Настройки'!$B$9)+AP404+AC404+Q404*K404)/(1-AH404-AD404))</f>
        <v/>
      </c>
      <c r="P404" s="2">
        <f>IF(O404="";"";O404-K404-O404*AH404-O404*AD404-IF(AM404&gt;0;AM404;'_Настройки'!$B$9)-AP404-AC404)</f>
        <v/>
      </c>
      <c r="Q404" s="3">
        <f>IF(AND(O404&gt;0;K404&gt;0);P404/K404;"")</f>
        <v/>
      </c>
      <c r="R404" s="2">
        <f>IF(O404="";"";O404-K404-O404*AK404-O404*AD404-IF(AM404&gt;0;AM404;'_Настройки'!$B$9)-AP404-AC404)</f>
        <v/>
      </c>
      <c r="S404" s="3">
        <f>IF(AND(O404&gt;0;K404&gt;0);R404/K404;"")</f>
        <v/>
      </c>
      <c r="T404" s="2" t="n"/>
      <c r="U404" s="3">
        <f>IF(AND(L404&gt;0;T404&gt;0);1-T404/L404;"")</f>
        <v/>
      </c>
      <c r="V404" s="3">
        <f>'_Настройки'!$B$4</f>
        <v/>
      </c>
      <c r="Z404" s="4">
        <f>IF(AND(W404&gt;0;X404&gt;0;Y404&gt;0);W404*X404*Y404/1000;"")</f>
        <v/>
      </c>
      <c r="AB404" s="2">
        <f>('_Настройки'!$B$6+MAX(0;Z404-1)*'_Настройки'!$B$7)*IF(AA404&gt;0;AA404;'_Настройки'!$B$10)</f>
        <v/>
      </c>
      <c r="AC404" s="2">
        <f>AB404*(1+'_Настройки'!$B$8)</f>
        <v/>
      </c>
      <c r="AD404" s="3">
        <f>'_Настройки'!$B$2</f>
        <v/>
      </c>
      <c r="AE404" s="2">
        <f>L404*AD404</f>
        <v/>
      </c>
      <c r="AF404" s="3">
        <f>'_Настройки'!$B$3</f>
        <v/>
      </c>
      <c r="AG404" s="3">
        <f>IFERROR(INDEX('_Комиссия_ВБ'!$B:$B;MATCH(C404;'_Комиссия_ВБ'!$A:$A;0));0,245)</f>
        <v/>
      </c>
      <c r="AH404" s="3">
        <f>AG404+AF404</f>
        <v/>
      </c>
      <c r="AI404" s="2">
        <f>L404*AH404</f>
        <v/>
      </c>
      <c r="AJ404" s="3">
        <f>IFERROR(INDEX('_Комиссия_ВБ'!$C:$C;MATCH(C404;'_Комиссия_ВБ'!$A:$A;0));0,28)</f>
        <v/>
      </c>
      <c r="AK404" s="3">
        <f>AJ404+AF404</f>
        <v/>
      </c>
      <c r="AL404" s="2">
        <f>L404*AK404</f>
        <v/>
      </c>
      <c r="AM404" s="2" t="n"/>
      <c r="AO404" s="3">
        <f>'_Настройки'!$B$5</f>
        <v/>
      </c>
      <c r="AP404" s="2">
        <f>IF(K404&gt;0;K404*AO404;0)</f>
        <v/>
      </c>
      <c r="AQ404" s="2">
        <f>L404-K404-AI404-AE404-IF(AM404&gt;0;AM404;'_Настройки'!$B$9)-AP404-AC404</f>
        <v/>
      </c>
      <c r="AR404" s="3">
        <f>IF(L404&gt;0;AQ404/L404;"")</f>
        <v/>
      </c>
      <c r="AS404" s="3">
        <f>IF(K404&gt;0;AQ404/K404;"")</f>
        <v/>
      </c>
      <c r="AT404" s="2">
        <f>L404-K404-AL404-AE404-IF(AM404&gt;0;AM404;'_Настройки'!$B$9)-AP404-AC404</f>
        <v/>
      </c>
      <c r="AU404" s="3">
        <f>IF(L404&gt;0;AT404/L404;"")</f>
        <v/>
      </c>
      <c r="AV404" s="3">
        <f>IF(K404&gt;0;AT404/K404;"")</f>
        <v/>
      </c>
    </row>
    <row r="405">
      <c r="A405">
        <f>ROW()-1</f>
        <v/>
      </c>
      <c r="K405" s="2">
        <f>IFERROR(INDEX('_Цены_закупки'!$B:$B;MATCH(C405;'_Цены_закупки'!$A:$A;0));"")</f>
        <v/>
      </c>
      <c r="L405" s="2" t="n"/>
      <c r="M405" s="2" t="n"/>
      <c r="N405" s="3">
        <f>IF(AND(M405&gt;0;L405&gt;0);1-L405/M405;"")</f>
        <v/>
      </c>
      <c r="O405" s="2">
        <f>IF(OR(Q405="";K405=0);"";(K405+IF(AM405&gt;0;AM405;'_Настройки'!$B$9)+AP405+AC405+Q405*K405)/(1-AH405-AD405))</f>
        <v/>
      </c>
      <c r="P405" s="2">
        <f>IF(O405="";"";O405-K405-O405*AH405-O405*AD405-IF(AM405&gt;0;AM405;'_Настройки'!$B$9)-AP405-AC405)</f>
        <v/>
      </c>
      <c r="Q405" s="3">
        <f>IF(AND(O405&gt;0;K405&gt;0);P405/K405;"")</f>
        <v/>
      </c>
      <c r="R405" s="2">
        <f>IF(O405="";"";O405-K405-O405*AK405-O405*AD405-IF(AM405&gt;0;AM405;'_Настройки'!$B$9)-AP405-AC405)</f>
        <v/>
      </c>
      <c r="S405" s="3">
        <f>IF(AND(O405&gt;0;K405&gt;0);R405/K405;"")</f>
        <v/>
      </c>
      <c r="T405" s="2" t="n"/>
      <c r="U405" s="3">
        <f>IF(AND(L405&gt;0;T405&gt;0);1-T405/L405;"")</f>
        <v/>
      </c>
      <c r="V405" s="3">
        <f>'_Настройки'!$B$4</f>
        <v/>
      </c>
      <c r="Z405" s="4">
        <f>IF(AND(W405&gt;0;X405&gt;0;Y405&gt;0);W405*X405*Y405/1000;"")</f>
        <v/>
      </c>
      <c r="AB405" s="2">
        <f>('_Настройки'!$B$6+MAX(0;Z405-1)*'_Настройки'!$B$7)*IF(AA405&gt;0;AA405;'_Настройки'!$B$10)</f>
        <v/>
      </c>
      <c r="AC405" s="2">
        <f>AB405*(1+'_Настройки'!$B$8)</f>
        <v/>
      </c>
      <c r="AD405" s="3">
        <f>'_Настройки'!$B$2</f>
        <v/>
      </c>
      <c r="AE405" s="2">
        <f>L405*AD405</f>
        <v/>
      </c>
      <c r="AF405" s="3">
        <f>'_Настройки'!$B$3</f>
        <v/>
      </c>
      <c r="AG405" s="3">
        <f>IFERROR(INDEX('_Комиссия_ВБ'!$B:$B;MATCH(C405;'_Комиссия_ВБ'!$A:$A;0));0,245)</f>
        <v/>
      </c>
      <c r="AH405" s="3">
        <f>AG405+AF405</f>
        <v/>
      </c>
      <c r="AI405" s="2">
        <f>L405*AH405</f>
        <v/>
      </c>
      <c r="AJ405" s="3">
        <f>IFERROR(INDEX('_Комиссия_ВБ'!$C:$C;MATCH(C405;'_Комиссия_ВБ'!$A:$A;0));0,28)</f>
        <v/>
      </c>
      <c r="AK405" s="3">
        <f>AJ405+AF405</f>
        <v/>
      </c>
      <c r="AL405" s="2">
        <f>L405*AK405</f>
        <v/>
      </c>
      <c r="AM405" s="2" t="n"/>
      <c r="AO405" s="3">
        <f>'_Настройки'!$B$5</f>
        <v/>
      </c>
      <c r="AP405" s="2">
        <f>IF(K405&gt;0;K405*AO405;0)</f>
        <v/>
      </c>
      <c r="AQ405" s="2">
        <f>L405-K405-AI405-AE405-IF(AM405&gt;0;AM405;'_Настройки'!$B$9)-AP405-AC405</f>
        <v/>
      </c>
      <c r="AR405" s="3">
        <f>IF(L405&gt;0;AQ405/L405;"")</f>
        <v/>
      </c>
      <c r="AS405" s="3">
        <f>IF(K405&gt;0;AQ405/K405;"")</f>
        <v/>
      </c>
      <c r="AT405" s="2">
        <f>L405-K405-AL405-AE405-IF(AM405&gt;0;AM405;'_Настройки'!$B$9)-AP405-AC405</f>
        <v/>
      </c>
      <c r="AU405" s="3">
        <f>IF(L405&gt;0;AT405/L405;"")</f>
        <v/>
      </c>
      <c r="AV405" s="3">
        <f>IF(K405&gt;0;AT405/K405;"")</f>
        <v/>
      </c>
    </row>
    <row r="406">
      <c r="A406">
        <f>ROW()-1</f>
        <v/>
      </c>
      <c r="K406" s="2">
        <f>IFERROR(INDEX('_Цены_закупки'!$B:$B;MATCH(C406;'_Цены_закупки'!$A:$A;0));"")</f>
        <v/>
      </c>
      <c r="L406" s="2" t="n"/>
      <c r="M406" s="2" t="n"/>
      <c r="N406" s="3">
        <f>IF(AND(M406&gt;0;L406&gt;0);1-L406/M406;"")</f>
        <v/>
      </c>
      <c r="O406" s="2">
        <f>IF(OR(Q406="";K406=0);"";(K406+IF(AM406&gt;0;AM406;'_Настройки'!$B$9)+AP406+AC406+Q406*K406)/(1-AH406-AD406))</f>
        <v/>
      </c>
      <c r="P406" s="2">
        <f>IF(O406="";"";O406-K406-O406*AH406-O406*AD406-IF(AM406&gt;0;AM406;'_Настройки'!$B$9)-AP406-AC406)</f>
        <v/>
      </c>
      <c r="Q406" s="3">
        <f>IF(AND(O406&gt;0;K406&gt;0);P406/K406;"")</f>
        <v/>
      </c>
      <c r="R406" s="2">
        <f>IF(O406="";"";O406-K406-O406*AK406-O406*AD406-IF(AM406&gt;0;AM406;'_Настройки'!$B$9)-AP406-AC406)</f>
        <v/>
      </c>
      <c r="S406" s="3">
        <f>IF(AND(O406&gt;0;K406&gt;0);R406/K406;"")</f>
        <v/>
      </c>
      <c r="T406" s="2" t="n"/>
      <c r="U406" s="3">
        <f>IF(AND(L406&gt;0;T406&gt;0);1-T406/L406;"")</f>
        <v/>
      </c>
      <c r="V406" s="3">
        <f>'_Настройки'!$B$4</f>
        <v/>
      </c>
      <c r="Z406" s="4">
        <f>IF(AND(W406&gt;0;X406&gt;0;Y406&gt;0);W406*X406*Y406/1000;"")</f>
        <v/>
      </c>
      <c r="AB406" s="2">
        <f>('_Настройки'!$B$6+MAX(0;Z406-1)*'_Настройки'!$B$7)*IF(AA406&gt;0;AA406;'_Настройки'!$B$10)</f>
        <v/>
      </c>
      <c r="AC406" s="2">
        <f>AB406*(1+'_Настройки'!$B$8)</f>
        <v/>
      </c>
      <c r="AD406" s="3">
        <f>'_Настройки'!$B$2</f>
        <v/>
      </c>
      <c r="AE406" s="2">
        <f>L406*AD406</f>
        <v/>
      </c>
      <c r="AF406" s="3">
        <f>'_Настройки'!$B$3</f>
        <v/>
      </c>
      <c r="AG406" s="3">
        <f>IFERROR(INDEX('_Комиссия_ВБ'!$B:$B;MATCH(C406;'_Комиссия_ВБ'!$A:$A;0));0,245)</f>
        <v/>
      </c>
      <c r="AH406" s="3">
        <f>AG406+AF406</f>
        <v/>
      </c>
      <c r="AI406" s="2">
        <f>L406*AH406</f>
        <v/>
      </c>
      <c r="AJ406" s="3">
        <f>IFERROR(INDEX('_Комиссия_ВБ'!$C:$C;MATCH(C406;'_Комиссия_ВБ'!$A:$A;0));0,28)</f>
        <v/>
      </c>
      <c r="AK406" s="3">
        <f>AJ406+AF406</f>
        <v/>
      </c>
      <c r="AL406" s="2">
        <f>L406*AK406</f>
        <v/>
      </c>
      <c r="AM406" s="2" t="n"/>
      <c r="AO406" s="3">
        <f>'_Настройки'!$B$5</f>
        <v/>
      </c>
      <c r="AP406" s="2">
        <f>IF(K406&gt;0;K406*AO406;0)</f>
        <v/>
      </c>
      <c r="AQ406" s="2">
        <f>L406-K406-AI406-AE406-IF(AM406&gt;0;AM406;'_Настройки'!$B$9)-AP406-AC406</f>
        <v/>
      </c>
      <c r="AR406" s="3">
        <f>IF(L406&gt;0;AQ406/L406;"")</f>
        <v/>
      </c>
      <c r="AS406" s="3">
        <f>IF(K406&gt;0;AQ406/K406;"")</f>
        <v/>
      </c>
      <c r="AT406" s="2">
        <f>L406-K406-AL406-AE406-IF(AM406&gt;0;AM406;'_Настройки'!$B$9)-AP406-AC406</f>
        <v/>
      </c>
      <c r="AU406" s="3">
        <f>IF(L406&gt;0;AT406/L406;"")</f>
        <v/>
      </c>
      <c r="AV406" s="3">
        <f>IF(K406&gt;0;AT406/K406;"")</f>
        <v/>
      </c>
    </row>
    <row r="407">
      <c r="A407">
        <f>ROW()-1</f>
        <v/>
      </c>
      <c r="K407" s="2">
        <f>IFERROR(INDEX('_Цены_закупки'!$B:$B;MATCH(C407;'_Цены_закупки'!$A:$A;0));"")</f>
        <v/>
      </c>
      <c r="L407" s="2" t="n"/>
      <c r="M407" s="2" t="n"/>
      <c r="N407" s="3">
        <f>IF(AND(M407&gt;0;L407&gt;0);1-L407/M407;"")</f>
        <v/>
      </c>
      <c r="O407" s="2">
        <f>IF(OR(Q407="";K407=0);"";(K407+IF(AM407&gt;0;AM407;'_Настройки'!$B$9)+AP407+AC407+Q407*K407)/(1-AH407-AD407))</f>
        <v/>
      </c>
      <c r="P407" s="2">
        <f>IF(O407="";"";O407-K407-O407*AH407-O407*AD407-IF(AM407&gt;0;AM407;'_Настройки'!$B$9)-AP407-AC407)</f>
        <v/>
      </c>
      <c r="Q407" s="3">
        <f>IF(AND(O407&gt;0;K407&gt;0);P407/K407;"")</f>
        <v/>
      </c>
      <c r="R407" s="2">
        <f>IF(O407="";"";O407-K407-O407*AK407-O407*AD407-IF(AM407&gt;0;AM407;'_Настройки'!$B$9)-AP407-AC407)</f>
        <v/>
      </c>
      <c r="S407" s="3">
        <f>IF(AND(O407&gt;0;K407&gt;0);R407/K407;"")</f>
        <v/>
      </c>
      <c r="T407" s="2" t="n"/>
      <c r="U407" s="3">
        <f>IF(AND(L407&gt;0;T407&gt;0);1-T407/L407;"")</f>
        <v/>
      </c>
      <c r="V407" s="3">
        <f>'_Настройки'!$B$4</f>
        <v/>
      </c>
      <c r="Z407" s="4">
        <f>IF(AND(W407&gt;0;X407&gt;0;Y407&gt;0);W407*X407*Y407/1000;"")</f>
        <v/>
      </c>
      <c r="AB407" s="2">
        <f>('_Настройки'!$B$6+MAX(0;Z407-1)*'_Настройки'!$B$7)*IF(AA407&gt;0;AA407;'_Настройки'!$B$10)</f>
        <v/>
      </c>
      <c r="AC407" s="2">
        <f>AB407*(1+'_Настройки'!$B$8)</f>
        <v/>
      </c>
      <c r="AD407" s="3">
        <f>'_Настройки'!$B$2</f>
        <v/>
      </c>
      <c r="AE407" s="2">
        <f>L407*AD407</f>
        <v/>
      </c>
      <c r="AF407" s="3">
        <f>'_Настройки'!$B$3</f>
        <v/>
      </c>
      <c r="AG407" s="3">
        <f>IFERROR(INDEX('_Комиссия_ВБ'!$B:$B;MATCH(C407;'_Комиссия_ВБ'!$A:$A;0));0,245)</f>
        <v/>
      </c>
      <c r="AH407" s="3">
        <f>AG407+AF407</f>
        <v/>
      </c>
      <c r="AI407" s="2">
        <f>L407*AH407</f>
        <v/>
      </c>
      <c r="AJ407" s="3">
        <f>IFERROR(INDEX('_Комиссия_ВБ'!$C:$C;MATCH(C407;'_Комиссия_ВБ'!$A:$A;0));0,28)</f>
        <v/>
      </c>
      <c r="AK407" s="3">
        <f>AJ407+AF407</f>
        <v/>
      </c>
      <c r="AL407" s="2">
        <f>L407*AK407</f>
        <v/>
      </c>
      <c r="AM407" s="2" t="n"/>
      <c r="AO407" s="3">
        <f>'_Настройки'!$B$5</f>
        <v/>
      </c>
      <c r="AP407" s="2">
        <f>IF(K407&gt;0;K407*AO407;0)</f>
        <v/>
      </c>
      <c r="AQ407" s="2">
        <f>L407-K407-AI407-AE407-IF(AM407&gt;0;AM407;'_Настройки'!$B$9)-AP407-AC407</f>
        <v/>
      </c>
      <c r="AR407" s="3">
        <f>IF(L407&gt;0;AQ407/L407;"")</f>
        <v/>
      </c>
      <c r="AS407" s="3">
        <f>IF(K407&gt;0;AQ407/K407;"")</f>
        <v/>
      </c>
      <c r="AT407" s="2">
        <f>L407-K407-AL407-AE407-IF(AM407&gt;0;AM407;'_Настройки'!$B$9)-AP407-AC407</f>
        <v/>
      </c>
      <c r="AU407" s="3">
        <f>IF(L407&gt;0;AT407/L407;"")</f>
        <v/>
      </c>
      <c r="AV407" s="3">
        <f>IF(K407&gt;0;AT407/K407;"")</f>
        <v/>
      </c>
    </row>
    <row r="408">
      <c r="A408">
        <f>ROW()-1</f>
        <v/>
      </c>
      <c r="K408" s="2">
        <f>IFERROR(INDEX('_Цены_закупки'!$B:$B;MATCH(C408;'_Цены_закупки'!$A:$A;0));"")</f>
        <v/>
      </c>
      <c r="L408" s="2" t="n"/>
      <c r="M408" s="2" t="n"/>
      <c r="N408" s="3">
        <f>IF(AND(M408&gt;0;L408&gt;0);1-L408/M408;"")</f>
        <v/>
      </c>
      <c r="O408" s="2">
        <f>IF(OR(Q408="";K408=0);"";(K408+IF(AM408&gt;0;AM408;'_Настройки'!$B$9)+AP408+AC408+Q408*K408)/(1-AH408-AD408))</f>
        <v/>
      </c>
      <c r="P408" s="2">
        <f>IF(O408="";"";O408-K408-O408*AH408-O408*AD408-IF(AM408&gt;0;AM408;'_Настройки'!$B$9)-AP408-AC408)</f>
        <v/>
      </c>
      <c r="Q408" s="3">
        <f>IF(AND(O408&gt;0;K408&gt;0);P408/K408;"")</f>
        <v/>
      </c>
      <c r="R408" s="2">
        <f>IF(O408="";"";O408-K408-O408*AK408-O408*AD408-IF(AM408&gt;0;AM408;'_Настройки'!$B$9)-AP408-AC408)</f>
        <v/>
      </c>
      <c r="S408" s="3">
        <f>IF(AND(O408&gt;0;K408&gt;0);R408/K408;"")</f>
        <v/>
      </c>
      <c r="T408" s="2" t="n"/>
      <c r="U408" s="3">
        <f>IF(AND(L408&gt;0;T408&gt;0);1-T408/L408;"")</f>
        <v/>
      </c>
      <c r="V408" s="3">
        <f>'_Настройки'!$B$4</f>
        <v/>
      </c>
      <c r="Z408" s="4">
        <f>IF(AND(W408&gt;0;X408&gt;0;Y408&gt;0);W408*X408*Y408/1000;"")</f>
        <v/>
      </c>
      <c r="AB408" s="2">
        <f>('_Настройки'!$B$6+MAX(0;Z408-1)*'_Настройки'!$B$7)*IF(AA408&gt;0;AA408;'_Настройки'!$B$10)</f>
        <v/>
      </c>
      <c r="AC408" s="2">
        <f>AB408*(1+'_Настройки'!$B$8)</f>
        <v/>
      </c>
      <c r="AD408" s="3">
        <f>'_Настройки'!$B$2</f>
        <v/>
      </c>
      <c r="AE408" s="2">
        <f>L408*AD408</f>
        <v/>
      </c>
      <c r="AF408" s="3">
        <f>'_Настройки'!$B$3</f>
        <v/>
      </c>
      <c r="AG408" s="3">
        <f>IFERROR(INDEX('_Комиссия_ВБ'!$B:$B;MATCH(C408;'_Комиссия_ВБ'!$A:$A;0));0,245)</f>
        <v/>
      </c>
      <c r="AH408" s="3">
        <f>AG408+AF408</f>
        <v/>
      </c>
      <c r="AI408" s="2">
        <f>L408*AH408</f>
        <v/>
      </c>
      <c r="AJ408" s="3">
        <f>IFERROR(INDEX('_Комиссия_ВБ'!$C:$C;MATCH(C408;'_Комиссия_ВБ'!$A:$A;0));0,28)</f>
        <v/>
      </c>
      <c r="AK408" s="3">
        <f>AJ408+AF408</f>
        <v/>
      </c>
      <c r="AL408" s="2">
        <f>L408*AK408</f>
        <v/>
      </c>
      <c r="AM408" s="2" t="n"/>
      <c r="AO408" s="3">
        <f>'_Настройки'!$B$5</f>
        <v/>
      </c>
      <c r="AP408" s="2">
        <f>IF(K408&gt;0;K408*AO408;0)</f>
        <v/>
      </c>
      <c r="AQ408" s="2">
        <f>L408-K408-AI408-AE408-IF(AM408&gt;0;AM408;'_Настройки'!$B$9)-AP408-AC408</f>
        <v/>
      </c>
      <c r="AR408" s="3">
        <f>IF(L408&gt;0;AQ408/L408;"")</f>
        <v/>
      </c>
      <c r="AS408" s="3">
        <f>IF(K408&gt;0;AQ408/K408;"")</f>
        <v/>
      </c>
      <c r="AT408" s="2">
        <f>L408-K408-AL408-AE408-IF(AM408&gt;0;AM408;'_Настройки'!$B$9)-AP408-AC408</f>
        <v/>
      </c>
      <c r="AU408" s="3">
        <f>IF(L408&gt;0;AT408/L408;"")</f>
        <v/>
      </c>
      <c r="AV408" s="3">
        <f>IF(K408&gt;0;AT408/K408;"")</f>
        <v/>
      </c>
    </row>
    <row r="409">
      <c r="A409">
        <f>ROW()-1</f>
        <v/>
      </c>
      <c r="K409" s="2">
        <f>IFERROR(INDEX('_Цены_закупки'!$B:$B;MATCH(C409;'_Цены_закупки'!$A:$A;0));"")</f>
        <v/>
      </c>
      <c r="L409" s="2" t="n"/>
      <c r="M409" s="2" t="n"/>
      <c r="N409" s="3">
        <f>IF(AND(M409&gt;0;L409&gt;0);1-L409/M409;"")</f>
        <v/>
      </c>
      <c r="O409" s="2">
        <f>IF(OR(Q409="";K409=0);"";(K409+IF(AM409&gt;0;AM409;'_Настройки'!$B$9)+AP409+AC409+Q409*K409)/(1-AH409-AD409))</f>
        <v/>
      </c>
      <c r="P409" s="2">
        <f>IF(O409="";"";O409-K409-O409*AH409-O409*AD409-IF(AM409&gt;0;AM409;'_Настройки'!$B$9)-AP409-AC409)</f>
        <v/>
      </c>
      <c r="Q409" s="3">
        <f>IF(AND(O409&gt;0;K409&gt;0);P409/K409;"")</f>
        <v/>
      </c>
      <c r="R409" s="2">
        <f>IF(O409="";"";O409-K409-O409*AK409-O409*AD409-IF(AM409&gt;0;AM409;'_Настройки'!$B$9)-AP409-AC409)</f>
        <v/>
      </c>
      <c r="S409" s="3">
        <f>IF(AND(O409&gt;0;K409&gt;0);R409/K409;"")</f>
        <v/>
      </c>
      <c r="T409" s="2" t="n"/>
      <c r="U409" s="3">
        <f>IF(AND(L409&gt;0;T409&gt;0);1-T409/L409;"")</f>
        <v/>
      </c>
      <c r="V409" s="3">
        <f>'_Настройки'!$B$4</f>
        <v/>
      </c>
      <c r="Z409" s="4">
        <f>IF(AND(W409&gt;0;X409&gt;0;Y409&gt;0);W409*X409*Y409/1000;"")</f>
        <v/>
      </c>
      <c r="AB409" s="2">
        <f>('_Настройки'!$B$6+MAX(0;Z409-1)*'_Настройки'!$B$7)*IF(AA409&gt;0;AA409;'_Настройки'!$B$10)</f>
        <v/>
      </c>
      <c r="AC409" s="2">
        <f>AB409*(1+'_Настройки'!$B$8)</f>
        <v/>
      </c>
      <c r="AD409" s="3">
        <f>'_Настройки'!$B$2</f>
        <v/>
      </c>
      <c r="AE409" s="2">
        <f>L409*AD409</f>
        <v/>
      </c>
      <c r="AF409" s="3">
        <f>'_Настройки'!$B$3</f>
        <v/>
      </c>
      <c r="AG409" s="3">
        <f>IFERROR(INDEX('_Комиссия_ВБ'!$B:$B;MATCH(C409;'_Комиссия_ВБ'!$A:$A;0));0,245)</f>
        <v/>
      </c>
      <c r="AH409" s="3">
        <f>AG409+AF409</f>
        <v/>
      </c>
      <c r="AI409" s="2">
        <f>L409*AH409</f>
        <v/>
      </c>
      <c r="AJ409" s="3">
        <f>IFERROR(INDEX('_Комиссия_ВБ'!$C:$C;MATCH(C409;'_Комиссия_ВБ'!$A:$A;0));0,28)</f>
        <v/>
      </c>
      <c r="AK409" s="3">
        <f>AJ409+AF409</f>
        <v/>
      </c>
      <c r="AL409" s="2">
        <f>L409*AK409</f>
        <v/>
      </c>
      <c r="AM409" s="2" t="n"/>
      <c r="AO409" s="3">
        <f>'_Настройки'!$B$5</f>
        <v/>
      </c>
      <c r="AP409" s="2">
        <f>IF(K409&gt;0;K409*AO409;0)</f>
        <v/>
      </c>
      <c r="AQ409" s="2">
        <f>L409-K409-AI409-AE409-IF(AM409&gt;0;AM409;'_Настройки'!$B$9)-AP409-AC409</f>
        <v/>
      </c>
      <c r="AR409" s="3">
        <f>IF(L409&gt;0;AQ409/L409;"")</f>
        <v/>
      </c>
      <c r="AS409" s="3">
        <f>IF(K409&gt;0;AQ409/K409;"")</f>
        <v/>
      </c>
      <c r="AT409" s="2">
        <f>L409-K409-AL409-AE409-IF(AM409&gt;0;AM409;'_Настройки'!$B$9)-AP409-AC409</f>
        <v/>
      </c>
      <c r="AU409" s="3">
        <f>IF(L409&gt;0;AT409/L409;"")</f>
        <v/>
      </c>
      <c r="AV409" s="3">
        <f>IF(K409&gt;0;AT409/K409;"")</f>
        <v/>
      </c>
    </row>
    <row r="410">
      <c r="A410">
        <f>ROW()-1</f>
        <v/>
      </c>
      <c r="K410" s="2">
        <f>IFERROR(INDEX('_Цены_закупки'!$B:$B;MATCH(C410;'_Цены_закупки'!$A:$A;0));"")</f>
        <v/>
      </c>
      <c r="L410" s="2" t="n"/>
      <c r="M410" s="2" t="n"/>
      <c r="N410" s="3">
        <f>IF(AND(M410&gt;0;L410&gt;0);1-L410/M410;"")</f>
        <v/>
      </c>
      <c r="O410" s="2">
        <f>IF(OR(Q410="";K410=0);"";(K410+IF(AM410&gt;0;AM410;'_Настройки'!$B$9)+AP410+AC410+Q410*K410)/(1-AH410-AD410))</f>
        <v/>
      </c>
      <c r="P410" s="2">
        <f>IF(O410="";"";O410-K410-O410*AH410-O410*AD410-IF(AM410&gt;0;AM410;'_Настройки'!$B$9)-AP410-AC410)</f>
        <v/>
      </c>
      <c r="Q410" s="3">
        <f>IF(AND(O410&gt;0;K410&gt;0);P410/K410;"")</f>
        <v/>
      </c>
      <c r="R410" s="2">
        <f>IF(O410="";"";O410-K410-O410*AK410-O410*AD410-IF(AM410&gt;0;AM410;'_Настройки'!$B$9)-AP410-AC410)</f>
        <v/>
      </c>
      <c r="S410" s="3">
        <f>IF(AND(O410&gt;0;K410&gt;0);R410/K410;"")</f>
        <v/>
      </c>
      <c r="T410" s="2" t="n"/>
      <c r="U410" s="3">
        <f>IF(AND(L410&gt;0;T410&gt;0);1-T410/L410;"")</f>
        <v/>
      </c>
      <c r="V410" s="3">
        <f>'_Настройки'!$B$4</f>
        <v/>
      </c>
      <c r="Z410" s="4">
        <f>IF(AND(W410&gt;0;X410&gt;0;Y410&gt;0);W410*X410*Y410/1000;"")</f>
        <v/>
      </c>
      <c r="AB410" s="2">
        <f>('_Настройки'!$B$6+MAX(0;Z410-1)*'_Настройки'!$B$7)*IF(AA410&gt;0;AA410;'_Настройки'!$B$10)</f>
        <v/>
      </c>
      <c r="AC410" s="2">
        <f>AB410*(1+'_Настройки'!$B$8)</f>
        <v/>
      </c>
      <c r="AD410" s="3">
        <f>'_Настройки'!$B$2</f>
        <v/>
      </c>
      <c r="AE410" s="2">
        <f>L410*AD410</f>
        <v/>
      </c>
      <c r="AF410" s="3">
        <f>'_Настройки'!$B$3</f>
        <v/>
      </c>
      <c r="AG410" s="3">
        <f>IFERROR(INDEX('_Комиссия_ВБ'!$B:$B;MATCH(C410;'_Комиссия_ВБ'!$A:$A;0));0,245)</f>
        <v/>
      </c>
      <c r="AH410" s="3">
        <f>AG410+AF410</f>
        <v/>
      </c>
      <c r="AI410" s="2">
        <f>L410*AH410</f>
        <v/>
      </c>
      <c r="AJ410" s="3">
        <f>IFERROR(INDEX('_Комиссия_ВБ'!$C:$C;MATCH(C410;'_Комиссия_ВБ'!$A:$A;0));0,28)</f>
        <v/>
      </c>
      <c r="AK410" s="3">
        <f>AJ410+AF410</f>
        <v/>
      </c>
      <c r="AL410" s="2">
        <f>L410*AK410</f>
        <v/>
      </c>
      <c r="AM410" s="2" t="n"/>
      <c r="AO410" s="3">
        <f>'_Настройки'!$B$5</f>
        <v/>
      </c>
      <c r="AP410" s="2">
        <f>IF(K410&gt;0;K410*AO410;0)</f>
        <v/>
      </c>
      <c r="AQ410" s="2">
        <f>L410-K410-AI410-AE410-IF(AM410&gt;0;AM410;'_Настройки'!$B$9)-AP410-AC410</f>
        <v/>
      </c>
      <c r="AR410" s="3">
        <f>IF(L410&gt;0;AQ410/L410;"")</f>
        <v/>
      </c>
      <c r="AS410" s="3">
        <f>IF(K410&gt;0;AQ410/K410;"")</f>
        <v/>
      </c>
      <c r="AT410" s="2">
        <f>L410-K410-AL410-AE410-IF(AM410&gt;0;AM410;'_Настройки'!$B$9)-AP410-AC410</f>
        <v/>
      </c>
      <c r="AU410" s="3">
        <f>IF(L410&gt;0;AT410/L410;"")</f>
        <v/>
      </c>
      <c r="AV410" s="3">
        <f>IF(K410&gt;0;AT410/K410;"")</f>
        <v/>
      </c>
    </row>
    <row r="411">
      <c r="A411">
        <f>ROW()-1</f>
        <v/>
      </c>
      <c r="K411" s="2">
        <f>IFERROR(INDEX('_Цены_закупки'!$B:$B;MATCH(C411;'_Цены_закупки'!$A:$A;0));"")</f>
        <v/>
      </c>
      <c r="L411" s="2" t="n"/>
      <c r="M411" s="2" t="n"/>
      <c r="N411" s="3">
        <f>IF(AND(M411&gt;0;L411&gt;0);1-L411/M411;"")</f>
        <v/>
      </c>
      <c r="O411" s="2">
        <f>IF(OR(Q411="";K411=0);"";(K411+IF(AM411&gt;0;AM411;'_Настройки'!$B$9)+AP411+AC411+Q411*K411)/(1-AH411-AD411))</f>
        <v/>
      </c>
      <c r="P411" s="2">
        <f>IF(O411="";"";O411-K411-O411*AH411-O411*AD411-IF(AM411&gt;0;AM411;'_Настройки'!$B$9)-AP411-AC411)</f>
        <v/>
      </c>
      <c r="Q411" s="3">
        <f>IF(AND(O411&gt;0;K411&gt;0);P411/K411;"")</f>
        <v/>
      </c>
      <c r="R411" s="2">
        <f>IF(O411="";"";O411-K411-O411*AK411-O411*AD411-IF(AM411&gt;0;AM411;'_Настройки'!$B$9)-AP411-AC411)</f>
        <v/>
      </c>
      <c r="S411" s="3">
        <f>IF(AND(O411&gt;0;K411&gt;0);R411/K411;"")</f>
        <v/>
      </c>
      <c r="T411" s="2" t="n"/>
      <c r="U411" s="3">
        <f>IF(AND(L411&gt;0;T411&gt;0);1-T411/L411;"")</f>
        <v/>
      </c>
      <c r="V411" s="3">
        <f>'_Настройки'!$B$4</f>
        <v/>
      </c>
      <c r="Z411" s="4">
        <f>IF(AND(W411&gt;0;X411&gt;0;Y411&gt;0);W411*X411*Y411/1000;"")</f>
        <v/>
      </c>
      <c r="AB411" s="2">
        <f>('_Настройки'!$B$6+MAX(0;Z411-1)*'_Настройки'!$B$7)*IF(AA411&gt;0;AA411;'_Настройки'!$B$10)</f>
        <v/>
      </c>
      <c r="AC411" s="2">
        <f>AB411*(1+'_Настройки'!$B$8)</f>
        <v/>
      </c>
      <c r="AD411" s="3">
        <f>'_Настройки'!$B$2</f>
        <v/>
      </c>
      <c r="AE411" s="2">
        <f>L411*AD411</f>
        <v/>
      </c>
      <c r="AF411" s="3">
        <f>'_Настройки'!$B$3</f>
        <v/>
      </c>
      <c r="AG411" s="3">
        <f>IFERROR(INDEX('_Комиссия_ВБ'!$B:$B;MATCH(C411;'_Комиссия_ВБ'!$A:$A;0));0,245)</f>
        <v/>
      </c>
      <c r="AH411" s="3">
        <f>AG411+AF411</f>
        <v/>
      </c>
      <c r="AI411" s="2">
        <f>L411*AH411</f>
        <v/>
      </c>
      <c r="AJ411" s="3">
        <f>IFERROR(INDEX('_Комиссия_ВБ'!$C:$C;MATCH(C411;'_Комиссия_ВБ'!$A:$A;0));0,28)</f>
        <v/>
      </c>
      <c r="AK411" s="3">
        <f>AJ411+AF411</f>
        <v/>
      </c>
      <c r="AL411" s="2">
        <f>L411*AK411</f>
        <v/>
      </c>
      <c r="AM411" s="2" t="n"/>
      <c r="AO411" s="3">
        <f>'_Настройки'!$B$5</f>
        <v/>
      </c>
      <c r="AP411" s="2">
        <f>IF(K411&gt;0;K411*AO411;0)</f>
        <v/>
      </c>
      <c r="AQ411" s="2">
        <f>L411-K411-AI411-AE411-IF(AM411&gt;0;AM411;'_Настройки'!$B$9)-AP411-AC411</f>
        <v/>
      </c>
      <c r="AR411" s="3">
        <f>IF(L411&gt;0;AQ411/L411;"")</f>
        <v/>
      </c>
      <c r="AS411" s="3">
        <f>IF(K411&gt;0;AQ411/K411;"")</f>
        <v/>
      </c>
      <c r="AT411" s="2">
        <f>L411-K411-AL411-AE411-IF(AM411&gt;0;AM411;'_Настройки'!$B$9)-AP411-AC411</f>
        <v/>
      </c>
      <c r="AU411" s="3">
        <f>IF(L411&gt;0;AT411/L411;"")</f>
        <v/>
      </c>
      <c r="AV411" s="3">
        <f>IF(K411&gt;0;AT411/K411;"")</f>
        <v/>
      </c>
    </row>
    <row r="412">
      <c r="A412">
        <f>ROW()-1</f>
        <v/>
      </c>
      <c r="K412" s="2">
        <f>IFERROR(INDEX('_Цены_закупки'!$B:$B;MATCH(C412;'_Цены_закупки'!$A:$A;0));"")</f>
        <v/>
      </c>
      <c r="L412" s="2" t="n"/>
      <c r="M412" s="2" t="n"/>
      <c r="N412" s="3">
        <f>IF(AND(M412&gt;0;L412&gt;0);1-L412/M412;"")</f>
        <v/>
      </c>
      <c r="O412" s="2">
        <f>IF(OR(Q412="";K412=0);"";(K412+IF(AM412&gt;0;AM412;'_Настройки'!$B$9)+AP412+AC412+Q412*K412)/(1-AH412-AD412))</f>
        <v/>
      </c>
      <c r="P412" s="2">
        <f>IF(O412="";"";O412-K412-O412*AH412-O412*AD412-IF(AM412&gt;0;AM412;'_Настройки'!$B$9)-AP412-AC412)</f>
        <v/>
      </c>
      <c r="Q412" s="3">
        <f>IF(AND(O412&gt;0;K412&gt;0);P412/K412;"")</f>
        <v/>
      </c>
      <c r="R412" s="2">
        <f>IF(O412="";"";O412-K412-O412*AK412-O412*AD412-IF(AM412&gt;0;AM412;'_Настройки'!$B$9)-AP412-AC412)</f>
        <v/>
      </c>
      <c r="S412" s="3">
        <f>IF(AND(O412&gt;0;K412&gt;0);R412/K412;"")</f>
        <v/>
      </c>
      <c r="T412" s="2" t="n"/>
      <c r="U412" s="3">
        <f>IF(AND(L412&gt;0;T412&gt;0);1-T412/L412;"")</f>
        <v/>
      </c>
      <c r="V412" s="3">
        <f>'_Настройки'!$B$4</f>
        <v/>
      </c>
      <c r="Z412" s="4">
        <f>IF(AND(W412&gt;0;X412&gt;0;Y412&gt;0);W412*X412*Y412/1000;"")</f>
        <v/>
      </c>
      <c r="AB412" s="2">
        <f>('_Настройки'!$B$6+MAX(0;Z412-1)*'_Настройки'!$B$7)*IF(AA412&gt;0;AA412;'_Настройки'!$B$10)</f>
        <v/>
      </c>
      <c r="AC412" s="2">
        <f>AB412*(1+'_Настройки'!$B$8)</f>
        <v/>
      </c>
      <c r="AD412" s="3">
        <f>'_Настройки'!$B$2</f>
        <v/>
      </c>
      <c r="AE412" s="2">
        <f>L412*AD412</f>
        <v/>
      </c>
      <c r="AF412" s="3">
        <f>'_Настройки'!$B$3</f>
        <v/>
      </c>
      <c r="AG412" s="3">
        <f>IFERROR(INDEX('_Комиссия_ВБ'!$B:$B;MATCH(C412;'_Комиссия_ВБ'!$A:$A;0));0,245)</f>
        <v/>
      </c>
      <c r="AH412" s="3">
        <f>AG412+AF412</f>
        <v/>
      </c>
      <c r="AI412" s="2">
        <f>L412*AH412</f>
        <v/>
      </c>
      <c r="AJ412" s="3">
        <f>IFERROR(INDEX('_Комиссия_ВБ'!$C:$C;MATCH(C412;'_Комиссия_ВБ'!$A:$A;0));0,28)</f>
        <v/>
      </c>
      <c r="AK412" s="3">
        <f>AJ412+AF412</f>
        <v/>
      </c>
      <c r="AL412" s="2">
        <f>L412*AK412</f>
        <v/>
      </c>
      <c r="AM412" s="2" t="n"/>
      <c r="AO412" s="3">
        <f>'_Настройки'!$B$5</f>
        <v/>
      </c>
      <c r="AP412" s="2">
        <f>IF(K412&gt;0;K412*AO412;0)</f>
        <v/>
      </c>
      <c r="AQ412" s="2">
        <f>L412-K412-AI412-AE412-IF(AM412&gt;0;AM412;'_Настройки'!$B$9)-AP412-AC412</f>
        <v/>
      </c>
      <c r="AR412" s="3">
        <f>IF(L412&gt;0;AQ412/L412;"")</f>
        <v/>
      </c>
      <c r="AS412" s="3">
        <f>IF(K412&gt;0;AQ412/K412;"")</f>
        <v/>
      </c>
      <c r="AT412" s="2">
        <f>L412-K412-AL412-AE412-IF(AM412&gt;0;AM412;'_Настройки'!$B$9)-AP412-AC412</f>
        <v/>
      </c>
      <c r="AU412" s="3">
        <f>IF(L412&gt;0;AT412/L412;"")</f>
        <v/>
      </c>
      <c r="AV412" s="3">
        <f>IF(K412&gt;0;AT412/K412;"")</f>
        <v/>
      </c>
    </row>
    <row r="413">
      <c r="A413">
        <f>ROW()-1</f>
        <v/>
      </c>
      <c r="K413" s="2">
        <f>IFERROR(INDEX('_Цены_закупки'!$B:$B;MATCH(C413;'_Цены_закупки'!$A:$A;0));"")</f>
        <v/>
      </c>
      <c r="L413" s="2" t="n"/>
      <c r="M413" s="2" t="n"/>
      <c r="N413" s="3">
        <f>IF(AND(M413&gt;0;L413&gt;0);1-L413/M413;"")</f>
        <v/>
      </c>
      <c r="O413" s="2">
        <f>IF(OR(Q413="";K413=0);"";(K413+IF(AM413&gt;0;AM413;'_Настройки'!$B$9)+AP413+AC413+Q413*K413)/(1-AH413-AD413))</f>
        <v/>
      </c>
      <c r="P413" s="2">
        <f>IF(O413="";"";O413-K413-O413*AH413-O413*AD413-IF(AM413&gt;0;AM413;'_Настройки'!$B$9)-AP413-AC413)</f>
        <v/>
      </c>
      <c r="Q413" s="3">
        <f>IF(AND(O413&gt;0;K413&gt;0);P413/K413;"")</f>
        <v/>
      </c>
      <c r="R413" s="2">
        <f>IF(O413="";"";O413-K413-O413*AK413-O413*AD413-IF(AM413&gt;0;AM413;'_Настройки'!$B$9)-AP413-AC413)</f>
        <v/>
      </c>
      <c r="S413" s="3">
        <f>IF(AND(O413&gt;0;K413&gt;0);R413/K413;"")</f>
        <v/>
      </c>
      <c r="T413" s="2" t="n"/>
      <c r="U413" s="3">
        <f>IF(AND(L413&gt;0;T413&gt;0);1-T413/L413;"")</f>
        <v/>
      </c>
      <c r="V413" s="3">
        <f>'_Настройки'!$B$4</f>
        <v/>
      </c>
      <c r="Z413" s="4">
        <f>IF(AND(W413&gt;0;X413&gt;0;Y413&gt;0);W413*X413*Y413/1000;"")</f>
        <v/>
      </c>
      <c r="AB413" s="2">
        <f>('_Настройки'!$B$6+MAX(0;Z413-1)*'_Настройки'!$B$7)*IF(AA413&gt;0;AA413;'_Настройки'!$B$10)</f>
        <v/>
      </c>
      <c r="AC413" s="2">
        <f>AB413*(1+'_Настройки'!$B$8)</f>
        <v/>
      </c>
      <c r="AD413" s="3">
        <f>'_Настройки'!$B$2</f>
        <v/>
      </c>
      <c r="AE413" s="2">
        <f>L413*AD413</f>
        <v/>
      </c>
      <c r="AF413" s="3">
        <f>'_Настройки'!$B$3</f>
        <v/>
      </c>
      <c r="AG413" s="3">
        <f>IFERROR(INDEX('_Комиссия_ВБ'!$B:$B;MATCH(C413;'_Комиссия_ВБ'!$A:$A;0));0,245)</f>
        <v/>
      </c>
      <c r="AH413" s="3">
        <f>AG413+AF413</f>
        <v/>
      </c>
      <c r="AI413" s="2">
        <f>L413*AH413</f>
        <v/>
      </c>
      <c r="AJ413" s="3">
        <f>IFERROR(INDEX('_Комиссия_ВБ'!$C:$C;MATCH(C413;'_Комиссия_ВБ'!$A:$A;0));0,28)</f>
        <v/>
      </c>
      <c r="AK413" s="3">
        <f>AJ413+AF413</f>
        <v/>
      </c>
      <c r="AL413" s="2">
        <f>L413*AK413</f>
        <v/>
      </c>
      <c r="AM413" s="2" t="n"/>
      <c r="AO413" s="3">
        <f>'_Настройки'!$B$5</f>
        <v/>
      </c>
      <c r="AP413" s="2">
        <f>IF(K413&gt;0;K413*AO413;0)</f>
        <v/>
      </c>
      <c r="AQ413" s="2">
        <f>L413-K413-AI413-AE413-IF(AM413&gt;0;AM413;'_Настройки'!$B$9)-AP413-AC413</f>
        <v/>
      </c>
      <c r="AR413" s="3">
        <f>IF(L413&gt;0;AQ413/L413;"")</f>
        <v/>
      </c>
      <c r="AS413" s="3">
        <f>IF(K413&gt;0;AQ413/K413;"")</f>
        <v/>
      </c>
      <c r="AT413" s="2">
        <f>L413-K413-AL413-AE413-IF(AM413&gt;0;AM413;'_Настройки'!$B$9)-AP413-AC413</f>
        <v/>
      </c>
      <c r="AU413" s="3">
        <f>IF(L413&gt;0;AT413/L413;"")</f>
        <v/>
      </c>
      <c r="AV413" s="3">
        <f>IF(K413&gt;0;AT413/K413;"")</f>
        <v/>
      </c>
    </row>
    <row r="414">
      <c r="A414">
        <f>ROW()-1</f>
        <v/>
      </c>
      <c r="K414" s="2">
        <f>IFERROR(INDEX('_Цены_закупки'!$B:$B;MATCH(C414;'_Цены_закупки'!$A:$A;0));"")</f>
        <v/>
      </c>
      <c r="L414" s="2" t="n"/>
      <c r="M414" s="2" t="n"/>
      <c r="N414" s="3">
        <f>IF(AND(M414&gt;0;L414&gt;0);1-L414/M414;"")</f>
        <v/>
      </c>
      <c r="O414" s="2">
        <f>IF(OR(Q414="";K414=0);"";(K414+IF(AM414&gt;0;AM414;'_Настройки'!$B$9)+AP414+AC414+Q414*K414)/(1-AH414-AD414))</f>
        <v/>
      </c>
      <c r="P414" s="2">
        <f>IF(O414="";"";O414-K414-O414*AH414-O414*AD414-IF(AM414&gt;0;AM414;'_Настройки'!$B$9)-AP414-AC414)</f>
        <v/>
      </c>
      <c r="Q414" s="3">
        <f>IF(AND(O414&gt;0;K414&gt;0);P414/K414;"")</f>
        <v/>
      </c>
      <c r="R414" s="2">
        <f>IF(O414="";"";O414-K414-O414*AK414-O414*AD414-IF(AM414&gt;0;AM414;'_Настройки'!$B$9)-AP414-AC414)</f>
        <v/>
      </c>
      <c r="S414" s="3">
        <f>IF(AND(O414&gt;0;K414&gt;0);R414/K414;"")</f>
        <v/>
      </c>
      <c r="T414" s="2" t="n"/>
      <c r="U414" s="3">
        <f>IF(AND(L414&gt;0;T414&gt;0);1-T414/L414;"")</f>
        <v/>
      </c>
      <c r="V414" s="3">
        <f>'_Настройки'!$B$4</f>
        <v/>
      </c>
      <c r="Z414" s="4">
        <f>IF(AND(W414&gt;0;X414&gt;0;Y414&gt;0);W414*X414*Y414/1000;"")</f>
        <v/>
      </c>
      <c r="AB414" s="2">
        <f>('_Настройки'!$B$6+MAX(0;Z414-1)*'_Настройки'!$B$7)*IF(AA414&gt;0;AA414;'_Настройки'!$B$10)</f>
        <v/>
      </c>
      <c r="AC414" s="2">
        <f>AB414*(1+'_Настройки'!$B$8)</f>
        <v/>
      </c>
      <c r="AD414" s="3">
        <f>'_Настройки'!$B$2</f>
        <v/>
      </c>
      <c r="AE414" s="2">
        <f>L414*AD414</f>
        <v/>
      </c>
      <c r="AF414" s="3">
        <f>'_Настройки'!$B$3</f>
        <v/>
      </c>
      <c r="AG414" s="3">
        <f>IFERROR(INDEX('_Комиссия_ВБ'!$B:$B;MATCH(C414;'_Комиссия_ВБ'!$A:$A;0));0,245)</f>
        <v/>
      </c>
      <c r="AH414" s="3">
        <f>AG414+AF414</f>
        <v/>
      </c>
      <c r="AI414" s="2">
        <f>L414*AH414</f>
        <v/>
      </c>
      <c r="AJ414" s="3">
        <f>IFERROR(INDEX('_Комиссия_ВБ'!$C:$C;MATCH(C414;'_Комиссия_ВБ'!$A:$A;0));0,28)</f>
        <v/>
      </c>
      <c r="AK414" s="3">
        <f>AJ414+AF414</f>
        <v/>
      </c>
      <c r="AL414" s="2">
        <f>L414*AK414</f>
        <v/>
      </c>
      <c r="AM414" s="2" t="n"/>
      <c r="AO414" s="3">
        <f>'_Настройки'!$B$5</f>
        <v/>
      </c>
      <c r="AP414" s="2">
        <f>IF(K414&gt;0;K414*AO414;0)</f>
        <v/>
      </c>
      <c r="AQ414" s="2">
        <f>L414-K414-AI414-AE414-IF(AM414&gt;0;AM414;'_Настройки'!$B$9)-AP414-AC414</f>
        <v/>
      </c>
      <c r="AR414" s="3">
        <f>IF(L414&gt;0;AQ414/L414;"")</f>
        <v/>
      </c>
      <c r="AS414" s="3">
        <f>IF(K414&gt;0;AQ414/K414;"")</f>
        <v/>
      </c>
      <c r="AT414" s="2">
        <f>L414-K414-AL414-AE414-IF(AM414&gt;0;AM414;'_Настройки'!$B$9)-AP414-AC414</f>
        <v/>
      </c>
      <c r="AU414" s="3">
        <f>IF(L414&gt;0;AT414/L414;"")</f>
        <v/>
      </c>
      <c r="AV414" s="3">
        <f>IF(K414&gt;0;AT414/K414;"")</f>
        <v/>
      </c>
    </row>
    <row r="415">
      <c r="A415">
        <f>ROW()-1</f>
        <v/>
      </c>
      <c r="K415" s="2">
        <f>IFERROR(INDEX('_Цены_закупки'!$B:$B;MATCH(C415;'_Цены_закупки'!$A:$A;0));"")</f>
        <v/>
      </c>
      <c r="L415" s="2" t="n"/>
      <c r="M415" s="2" t="n"/>
      <c r="N415" s="3">
        <f>IF(AND(M415&gt;0;L415&gt;0);1-L415/M415;"")</f>
        <v/>
      </c>
      <c r="O415" s="2">
        <f>IF(OR(Q415="";K415=0);"";(K415+IF(AM415&gt;0;AM415;'_Настройки'!$B$9)+AP415+AC415+Q415*K415)/(1-AH415-AD415))</f>
        <v/>
      </c>
      <c r="P415" s="2">
        <f>IF(O415="";"";O415-K415-O415*AH415-O415*AD415-IF(AM415&gt;0;AM415;'_Настройки'!$B$9)-AP415-AC415)</f>
        <v/>
      </c>
      <c r="Q415" s="3">
        <f>IF(AND(O415&gt;0;K415&gt;0);P415/K415;"")</f>
        <v/>
      </c>
      <c r="R415" s="2">
        <f>IF(O415="";"";O415-K415-O415*AK415-O415*AD415-IF(AM415&gt;0;AM415;'_Настройки'!$B$9)-AP415-AC415)</f>
        <v/>
      </c>
      <c r="S415" s="3">
        <f>IF(AND(O415&gt;0;K415&gt;0);R415/K415;"")</f>
        <v/>
      </c>
      <c r="T415" s="2" t="n"/>
      <c r="U415" s="3">
        <f>IF(AND(L415&gt;0;T415&gt;0);1-T415/L415;"")</f>
        <v/>
      </c>
      <c r="V415" s="3">
        <f>'_Настройки'!$B$4</f>
        <v/>
      </c>
      <c r="Z415" s="4">
        <f>IF(AND(W415&gt;0;X415&gt;0;Y415&gt;0);W415*X415*Y415/1000;"")</f>
        <v/>
      </c>
      <c r="AB415" s="2">
        <f>('_Настройки'!$B$6+MAX(0;Z415-1)*'_Настройки'!$B$7)*IF(AA415&gt;0;AA415;'_Настройки'!$B$10)</f>
        <v/>
      </c>
      <c r="AC415" s="2">
        <f>AB415*(1+'_Настройки'!$B$8)</f>
        <v/>
      </c>
      <c r="AD415" s="3">
        <f>'_Настройки'!$B$2</f>
        <v/>
      </c>
      <c r="AE415" s="2">
        <f>L415*AD415</f>
        <v/>
      </c>
      <c r="AF415" s="3">
        <f>'_Настройки'!$B$3</f>
        <v/>
      </c>
      <c r="AG415" s="3">
        <f>IFERROR(INDEX('_Комиссия_ВБ'!$B:$B;MATCH(C415;'_Комиссия_ВБ'!$A:$A;0));0,245)</f>
        <v/>
      </c>
      <c r="AH415" s="3">
        <f>AG415+AF415</f>
        <v/>
      </c>
      <c r="AI415" s="2">
        <f>L415*AH415</f>
        <v/>
      </c>
      <c r="AJ415" s="3">
        <f>IFERROR(INDEX('_Комиссия_ВБ'!$C:$C;MATCH(C415;'_Комиссия_ВБ'!$A:$A;0));0,28)</f>
        <v/>
      </c>
      <c r="AK415" s="3">
        <f>AJ415+AF415</f>
        <v/>
      </c>
      <c r="AL415" s="2">
        <f>L415*AK415</f>
        <v/>
      </c>
      <c r="AM415" s="2" t="n"/>
      <c r="AO415" s="3">
        <f>'_Настройки'!$B$5</f>
        <v/>
      </c>
      <c r="AP415" s="2">
        <f>IF(K415&gt;0;K415*AO415;0)</f>
        <v/>
      </c>
      <c r="AQ415" s="2">
        <f>L415-K415-AI415-AE415-IF(AM415&gt;0;AM415;'_Настройки'!$B$9)-AP415-AC415</f>
        <v/>
      </c>
      <c r="AR415" s="3">
        <f>IF(L415&gt;0;AQ415/L415;"")</f>
        <v/>
      </c>
      <c r="AS415" s="3">
        <f>IF(K415&gt;0;AQ415/K415;"")</f>
        <v/>
      </c>
      <c r="AT415" s="2">
        <f>L415-K415-AL415-AE415-IF(AM415&gt;0;AM415;'_Настройки'!$B$9)-AP415-AC415</f>
        <v/>
      </c>
      <c r="AU415" s="3">
        <f>IF(L415&gt;0;AT415/L415;"")</f>
        <v/>
      </c>
      <c r="AV415" s="3">
        <f>IF(K415&gt;0;AT415/K415;"")</f>
        <v/>
      </c>
    </row>
    <row r="416">
      <c r="A416">
        <f>ROW()-1</f>
        <v/>
      </c>
      <c r="K416" s="2">
        <f>IFERROR(INDEX('_Цены_закупки'!$B:$B;MATCH(C416;'_Цены_закупки'!$A:$A;0));"")</f>
        <v/>
      </c>
      <c r="L416" s="2" t="n"/>
      <c r="M416" s="2" t="n"/>
      <c r="N416" s="3">
        <f>IF(AND(M416&gt;0;L416&gt;0);1-L416/M416;"")</f>
        <v/>
      </c>
      <c r="O416" s="2">
        <f>IF(OR(Q416="";K416=0);"";(K416+IF(AM416&gt;0;AM416;'_Настройки'!$B$9)+AP416+AC416+Q416*K416)/(1-AH416-AD416))</f>
        <v/>
      </c>
      <c r="P416" s="2">
        <f>IF(O416="";"";O416-K416-O416*AH416-O416*AD416-IF(AM416&gt;0;AM416;'_Настройки'!$B$9)-AP416-AC416)</f>
        <v/>
      </c>
      <c r="Q416" s="3">
        <f>IF(AND(O416&gt;0;K416&gt;0);P416/K416;"")</f>
        <v/>
      </c>
      <c r="R416" s="2">
        <f>IF(O416="";"";O416-K416-O416*AK416-O416*AD416-IF(AM416&gt;0;AM416;'_Настройки'!$B$9)-AP416-AC416)</f>
        <v/>
      </c>
      <c r="S416" s="3">
        <f>IF(AND(O416&gt;0;K416&gt;0);R416/K416;"")</f>
        <v/>
      </c>
      <c r="T416" s="2" t="n"/>
      <c r="U416" s="3">
        <f>IF(AND(L416&gt;0;T416&gt;0);1-T416/L416;"")</f>
        <v/>
      </c>
      <c r="V416" s="3">
        <f>'_Настройки'!$B$4</f>
        <v/>
      </c>
      <c r="Z416" s="4">
        <f>IF(AND(W416&gt;0;X416&gt;0;Y416&gt;0);W416*X416*Y416/1000;"")</f>
        <v/>
      </c>
      <c r="AB416" s="2">
        <f>('_Настройки'!$B$6+MAX(0;Z416-1)*'_Настройки'!$B$7)*IF(AA416&gt;0;AA416;'_Настройки'!$B$10)</f>
        <v/>
      </c>
      <c r="AC416" s="2">
        <f>AB416*(1+'_Настройки'!$B$8)</f>
        <v/>
      </c>
      <c r="AD416" s="3">
        <f>'_Настройки'!$B$2</f>
        <v/>
      </c>
      <c r="AE416" s="2">
        <f>L416*AD416</f>
        <v/>
      </c>
      <c r="AF416" s="3">
        <f>'_Настройки'!$B$3</f>
        <v/>
      </c>
      <c r="AG416" s="3">
        <f>IFERROR(INDEX('_Комиссия_ВБ'!$B:$B;MATCH(C416;'_Комиссия_ВБ'!$A:$A;0));0,245)</f>
        <v/>
      </c>
      <c r="AH416" s="3">
        <f>AG416+AF416</f>
        <v/>
      </c>
      <c r="AI416" s="2">
        <f>L416*AH416</f>
        <v/>
      </c>
      <c r="AJ416" s="3">
        <f>IFERROR(INDEX('_Комиссия_ВБ'!$C:$C;MATCH(C416;'_Комиссия_ВБ'!$A:$A;0));0,28)</f>
        <v/>
      </c>
      <c r="AK416" s="3">
        <f>AJ416+AF416</f>
        <v/>
      </c>
      <c r="AL416" s="2">
        <f>L416*AK416</f>
        <v/>
      </c>
      <c r="AM416" s="2" t="n"/>
      <c r="AO416" s="3">
        <f>'_Настройки'!$B$5</f>
        <v/>
      </c>
      <c r="AP416" s="2">
        <f>IF(K416&gt;0;K416*AO416;0)</f>
        <v/>
      </c>
      <c r="AQ416" s="2">
        <f>L416-K416-AI416-AE416-IF(AM416&gt;0;AM416;'_Настройки'!$B$9)-AP416-AC416</f>
        <v/>
      </c>
      <c r="AR416" s="3">
        <f>IF(L416&gt;0;AQ416/L416;"")</f>
        <v/>
      </c>
      <c r="AS416" s="3">
        <f>IF(K416&gt;0;AQ416/K416;"")</f>
        <v/>
      </c>
      <c r="AT416" s="2">
        <f>L416-K416-AL416-AE416-IF(AM416&gt;0;AM416;'_Настройки'!$B$9)-AP416-AC416</f>
        <v/>
      </c>
      <c r="AU416" s="3">
        <f>IF(L416&gt;0;AT416/L416;"")</f>
        <v/>
      </c>
      <c r="AV416" s="3">
        <f>IF(K416&gt;0;AT416/K416;"")</f>
        <v/>
      </c>
    </row>
    <row r="417">
      <c r="A417">
        <f>ROW()-1</f>
        <v/>
      </c>
      <c r="K417" s="2">
        <f>IFERROR(INDEX('_Цены_закупки'!$B:$B;MATCH(C417;'_Цены_закупки'!$A:$A;0));"")</f>
        <v/>
      </c>
      <c r="L417" s="2" t="n"/>
      <c r="M417" s="2" t="n"/>
      <c r="N417" s="3">
        <f>IF(AND(M417&gt;0;L417&gt;0);1-L417/M417;"")</f>
        <v/>
      </c>
      <c r="O417" s="2">
        <f>IF(OR(Q417="";K417=0);"";(K417+IF(AM417&gt;0;AM417;'_Настройки'!$B$9)+AP417+AC417+Q417*K417)/(1-AH417-AD417))</f>
        <v/>
      </c>
      <c r="P417" s="2">
        <f>IF(O417="";"";O417-K417-O417*AH417-O417*AD417-IF(AM417&gt;0;AM417;'_Настройки'!$B$9)-AP417-AC417)</f>
        <v/>
      </c>
      <c r="Q417" s="3">
        <f>IF(AND(O417&gt;0;K417&gt;0);P417/K417;"")</f>
        <v/>
      </c>
      <c r="R417" s="2">
        <f>IF(O417="";"";O417-K417-O417*AK417-O417*AD417-IF(AM417&gt;0;AM417;'_Настройки'!$B$9)-AP417-AC417)</f>
        <v/>
      </c>
      <c r="S417" s="3">
        <f>IF(AND(O417&gt;0;K417&gt;0);R417/K417;"")</f>
        <v/>
      </c>
      <c r="T417" s="2" t="n"/>
      <c r="U417" s="3">
        <f>IF(AND(L417&gt;0;T417&gt;0);1-T417/L417;"")</f>
        <v/>
      </c>
      <c r="V417" s="3">
        <f>'_Настройки'!$B$4</f>
        <v/>
      </c>
      <c r="Z417" s="4">
        <f>IF(AND(W417&gt;0;X417&gt;0;Y417&gt;0);W417*X417*Y417/1000;"")</f>
        <v/>
      </c>
      <c r="AB417" s="2">
        <f>('_Настройки'!$B$6+MAX(0;Z417-1)*'_Настройки'!$B$7)*IF(AA417&gt;0;AA417;'_Настройки'!$B$10)</f>
        <v/>
      </c>
      <c r="AC417" s="2">
        <f>AB417*(1+'_Настройки'!$B$8)</f>
        <v/>
      </c>
      <c r="AD417" s="3">
        <f>'_Настройки'!$B$2</f>
        <v/>
      </c>
      <c r="AE417" s="2">
        <f>L417*AD417</f>
        <v/>
      </c>
      <c r="AF417" s="3">
        <f>'_Настройки'!$B$3</f>
        <v/>
      </c>
      <c r="AG417" s="3">
        <f>IFERROR(INDEX('_Комиссия_ВБ'!$B:$B;MATCH(C417;'_Комиссия_ВБ'!$A:$A;0));0,245)</f>
        <v/>
      </c>
      <c r="AH417" s="3">
        <f>AG417+AF417</f>
        <v/>
      </c>
      <c r="AI417" s="2">
        <f>L417*AH417</f>
        <v/>
      </c>
      <c r="AJ417" s="3">
        <f>IFERROR(INDEX('_Комиссия_ВБ'!$C:$C;MATCH(C417;'_Комиссия_ВБ'!$A:$A;0));0,28)</f>
        <v/>
      </c>
      <c r="AK417" s="3">
        <f>AJ417+AF417</f>
        <v/>
      </c>
      <c r="AL417" s="2">
        <f>L417*AK417</f>
        <v/>
      </c>
      <c r="AM417" s="2" t="n"/>
      <c r="AO417" s="3">
        <f>'_Настройки'!$B$5</f>
        <v/>
      </c>
      <c r="AP417" s="2">
        <f>IF(K417&gt;0;K417*AO417;0)</f>
        <v/>
      </c>
      <c r="AQ417" s="2">
        <f>L417-K417-AI417-AE417-IF(AM417&gt;0;AM417;'_Настройки'!$B$9)-AP417-AC417</f>
        <v/>
      </c>
      <c r="AR417" s="3">
        <f>IF(L417&gt;0;AQ417/L417;"")</f>
        <v/>
      </c>
      <c r="AS417" s="3">
        <f>IF(K417&gt;0;AQ417/K417;"")</f>
        <v/>
      </c>
      <c r="AT417" s="2">
        <f>L417-K417-AL417-AE417-IF(AM417&gt;0;AM417;'_Настройки'!$B$9)-AP417-AC417</f>
        <v/>
      </c>
      <c r="AU417" s="3">
        <f>IF(L417&gt;0;AT417/L417;"")</f>
        <v/>
      </c>
      <c r="AV417" s="3">
        <f>IF(K417&gt;0;AT417/K417;"")</f>
        <v/>
      </c>
    </row>
    <row r="418">
      <c r="A418">
        <f>ROW()-1</f>
        <v/>
      </c>
      <c r="K418" s="2">
        <f>IFERROR(INDEX('_Цены_закупки'!$B:$B;MATCH(C418;'_Цены_закупки'!$A:$A;0));"")</f>
        <v/>
      </c>
      <c r="L418" s="2" t="n"/>
      <c r="M418" s="2" t="n"/>
      <c r="N418" s="3">
        <f>IF(AND(M418&gt;0;L418&gt;0);1-L418/M418;"")</f>
        <v/>
      </c>
      <c r="O418" s="2">
        <f>IF(OR(Q418="";K418=0);"";(K418+IF(AM418&gt;0;AM418;'_Настройки'!$B$9)+AP418+AC418+Q418*K418)/(1-AH418-AD418))</f>
        <v/>
      </c>
      <c r="P418" s="2">
        <f>IF(O418="";"";O418-K418-O418*AH418-O418*AD418-IF(AM418&gt;0;AM418;'_Настройки'!$B$9)-AP418-AC418)</f>
        <v/>
      </c>
      <c r="Q418" s="3">
        <f>IF(AND(O418&gt;0;K418&gt;0);P418/K418;"")</f>
        <v/>
      </c>
      <c r="R418" s="2">
        <f>IF(O418="";"";O418-K418-O418*AK418-O418*AD418-IF(AM418&gt;0;AM418;'_Настройки'!$B$9)-AP418-AC418)</f>
        <v/>
      </c>
      <c r="S418" s="3">
        <f>IF(AND(O418&gt;0;K418&gt;0);R418/K418;"")</f>
        <v/>
      </c>
      <c r="T418" s="2" t="n"/>
      <c r="U418" s="3">
        <f>IF(AND(L418&gt;0;T418&gt;0);1-T418/L418;"")</f>
        <v/>
      </c>
      <c r="V418" s="3">
        <f>'_Настройки'!$B$4</f>
        <v/>
      </c>
      <c r="Z418" s="4">
        <f>IF(AND(W418&gt;0;X418&gt;0;Y418&gt;0);W418*X418*Y418/1000;"")</f>
        <v/>
      </c>
      <c r="AB418" s="2">
        <f>('_Настройки'!$B$6+MAX(0;Z418-1)*'_Настройки'!$B$7)*IF(AA418&gt;0;AA418;'_Настройки'!$B$10)</f>
        <v/>
      </c>
      <c r="AC418" s="2">
        <f>AB418*(1+'_Настройки'!$B$8)</f>
        <v/>
      </c>
      <c r="AD418" s="3">
        <f>'_Настройки'!$B$2</f>
        <v/>
      </c>
      <c r="AE418" s="2">
        <f>L418*AD418</f>
        <v/>
      </c>
      <c r="AF418" s="3">
        <f>'_Настройки'!$B$3</f>
        <v/>
      </c>
      <c r="AG418" s="3">
        <f>IFERROR(INDEX('_Комиссия_ВБ'!$B:$B;MATCH(C418;'_Комиссия_ВБ'!$A:$A;0));0,245)</f>
        <v/>
      </c>
      <c r="AH418" s="3">
        <f>AG418+AF418</f>
        <v/>
      </c>
      <c r="AI418" s="2">
        <f>L418*AH418</f>
        <v/>
      </c>
      <c r="AJ418" s="3">
        <f>IFERROR(INDEX('_Комиссия_ВБ'!$C:$C;MATCH(C418;'_Комиссия_ВБ'!$A:$A;0));0,28)</f>
        <v/>
      </c>
      <c r="AK418" s="3">
        <f>AJ418+AF418</f>
        <v/>
      </c>
      <c r="AL418" s="2">
        <f>L418*AK418</f>
        <v/>
      </c>
      <c r="AM418" s="2" t="n"/>
      <c r="AO418" s="3">
        <f>'_Настройки'!$B$5</f>
        <v/>
      </c>
      <c r="AP418" s="2">
        <f>IF(K418&gt;0;K418*AO418;0)</f>
        <v/>
      </c>
      <c r="AQ418" s="2">
        <f>L418-K418-AI418-AE418-IF(AM418&gt;0;AM418;'_Настройки'!$B$9)-AP418-AC418</f>
        <v/>
      </c>
      <c r="AR418" s="3">
        <f>IF(L418&gt;0;AQ418/L418;"")</f>
        <v/>
      </c>
      <c r="AS418" s="3">
        <f>IF(K418&gt;0;AQ418/K418;"")</f>
        <v/>
      </c>
      <c r="AT418" s="2">
        <f>L418-K418-AL418-AE418-IF(AM418&gt;0;AM418;'_Настройки'!$B$9)-AP418-AC418</f>
        <v/>
      </c>
      <c r="AU418" s="3">
        <f>IF(L418&gt;0;AT418/L418;"")</f>
        <v/>
      </c>
      <c r="AV418" s="3">
        <f>IF(K418&gt;0;AT418/K418;"")</f>
        <v/>
      </c>
    </row>
    <row r="419">
      <c r="A419">
        <f>ROW()-1</f>
        <v/>
      </c>
      <c r="K419" s="2">
        <f>IFERROR(INDEX('_Цены_закупки'!$B:$B;MATCH(C419;'_Цены_закупки'!$A:$A;0));"")</f>
        <v/>
      </c>
      <c r="L419" s="2" t="n"/>
      <c r="M419" s="2" t="n"/>
      <c r="N419" s="3">
        <f>IF(AND(M419&gt;0;L419&gt;0);1-L419/M419;"")</f>
        <v/>
      </c>
      <c r="O419" s="2">
        <f>IF(OR(Q419="";K419=0);"";(K419+IF(AM419&gt;0;AM419;'_Настройки'!$B$9)+AP419+AC419+Q419*K419)/(1-AH419-AD419))</f>
        <v/>
      </c>
      <c r="P419" s="2">
        <f>IF(O419="";"";O419-K419-O419*AH419-O419*AD419-IF(AM419&gt;0;AM419;'_Настройки'!$B$9)-AP419-AC419)</f>
        <v/>
      </c>
      <c r="Q419" s="3">
        <f>IF(AND(O419&gt;0;K419&gt;0);P419/K419;"")</f>
        <v/>
      </c>
      <c r="R419" s="2">
        <f>IF(O419="";"";O419-K419-O419*AK419-O419*AD419-IF(AM419&gt;0;AM419;'_Настройки'!$B$9)-AP419-AC419)</f>
        <v/>
      </c>
      <c r="S419" s="3">
        <f>IF(AND(O419&gt;0;K419&gt;0);R419/K419;"")</f>
        <v/>
      </c>
      <c r="T419" s="2" t="n"/>
      <c r="U419" s="3">
        <f>IF(AND(L419&gt;0;T419&gt;0);1-T419/L419;"")</f>
        <v/>
      </c>
      <c r="V419" s="3">
        <f>'_Настройки'!$B$4</f>
        <v/>
      </c>
      <c r="Z419" s="4">
        <f>IF(AND(W419&gt;0;X419&gt;0;Y419&gt;0);W419*X419*Y419/1000;"")</f>
        <v/>
      </c>
      <c r="AB419" s="2">
        <f>('_Настройки'!$B$6+MAX(0;Z419-1)*'_Настройки'!$B$7)*IF(AA419&gt;0;AA419;'_Настройки'!$B$10)</f>
        <v/>
      </c>
      <c r="AC419" s="2">
        <f>AB419*(1+'_Настройки'!$B$8)</f>
        <v/>
      </c>
      <c r="AD419" s="3">
        <f>'_Настройки'!$B$2</f>
        <v/>
      </c>
      <c r="AE419" s="2">
        <f>L419*AD419</f>
        <v/>
      </c>
      <c r="AF419" s="3">
        <f>'_Настройки'!$B$3</f>
        <v/>
      </c>
      <c r="AG419" s="3">
        <f>IFERROR(INDEX('_Комиссия_ВБ'!$B:$B;MATCH(C419;'_Комиссия_ВБ'!$A:$A;0));0,245)</f>
        <v/>
      </c>
      <c r="AH419" s="3">
        <f>AG419+AF419</f>
        <v/>
      </c>
      <c r="AI419" s="2">
        <f>L419*AH419</f>
        <v/>
      </c>
      <c r="AJ419" s="3">
        <f>IFERROR(INDEX('_Комиссия_ВБ'!$C:$C;MATCH(C419;'_Комиссия_ВБ'!$A:$A;0));0,28)</f>
        <v/>
      </c>
      <c r="AK419" s="3">
        <f>AJ419+AF419</f>
        <v/>
      </c>
      <c r="AL419" s="2">
        <f>L419*AK419</f>
        <v/>
      </c>
      <c r="AM419" s="2" t="n"/>
      <c r="AO419" s="3">
        <f>'_Настройки'!$B$5</f>
        <v/>
      </c>
      <c r="AP419" s="2">
        <f>IF(K419&gt;0;K419*AO419;0)</f>
        <v/>
      </c>
      <c r="AQ419" s="2">
        <f>L419-K419-AI419-AE419-IF(AM419&gt;0;AM419;'_Настройки'!$B$9)-AP419-AC419</f>
        <v/>
      </c>
      <c r="AR419" s="3">
        <f>IF(L419&gt;0;AQ419/L419;"")</f>
        <v/>
      </c>
      <c r="AS419" s="3">
        <f>IF(K419&gt;0;AQ419/K419;"")</f>
        <v/>
      </c>
      <c r="AT419" s="2">
        <f>L419-K419-AL419-AE419-IF(AM419&gt;0;AM419;'_Настройки'!$B$9)-AP419-AC419</f>
        <v/>
      </c>
      <c r="AU419" s="3">
        <f>IF(L419&gt;0;AT419/L419;"")</f>
        <v/>
      </c>
      <c r="AV419" s="3">
        <f>IF(K419&gt;0;AT419/K419;"")</f>
        <v/>
      </c>
    </row>
    <row r="420">
      <c r="A420">
        <f>ROW()-1</f>
        <v/>
      </c>
      <c r="K420" s="2">
        <f>IFERROR(INDEX('_Цены_закупки'!$B:$B;MATCH(C420;'_Цены_закупки'!$A:$A;0));"")</f>
        <v/>
      </c>
      <c r="L420" s="2" t="n"/>
      <c r="M420" s="2" t="n"/>
      <c r="N420" s="3">
        <f>IF(AND(M420&gt;0;L420&gt;0);1-L420/M420;"")</f>
        <v/>
      </c>
      <c r="O420" s="2">
        <f>IF(OR(Q420="";K420=0);"";(K420+IF(AM420&gt;0;AM420;'_Настройки'!$B$9)+AP420+AC420+Q420*K420)/(1-AH420-AD420))</f>
        <v/>
      </c>
      <c r="P420" s="2">
        <f>IF(O420="";"";O420-K420-O420*AH420-O420*AD420-IF(AM420&gt;0;AM420;'_Настройки'!$B$9)-AP420-AC420)</f>
        <v/>
      </c>
      <c r="Q420" s="3">
        <f>IF(AND(O420&gt;0;K420&gt;0);P420/K420;"")</f>
        <v/>
      </c>
      <c r="R420" s="2">
        <f>IF(O420="";"";O420-K420-O420*AK420-O420*AD420-IF(AM420&gt;0;AM420;'_Настройки'!$B$9)-AP420-AC420)</f>
        <v/>
      </c>
      <c r="S420" s="3">
        <f>IF(AND(O420&gt;0;K420&gt;0);R420/K420;"")</f>
        <v/>
      </c>
      <c r="T420" s="2" t="n"/>
      <c r="U420" s="3">
        <f>IF(AND(L420&gt;0;T420&gt;0);1-T420/L420;"")</f>
        <v/>
      </c>
      <c r="V420" s="3">
        <f>'_Настройки'!$B$4</f>
        <v/>
      </c>
      <c r="Z420" s="4">
        <f>IF(AND(W420&gt;0;X420&gt;0;Y420&gt;0);W420*X420*Y420/1000;"")</f>
        <v/>
      </c>
      <c r="AB420" s="2">
        <f>('_Настройки'!$B$6+MAX(0;Z420-1)*'_Настройки'!$B$7)*IF(AA420&gt;0;AA420;'_Настройки'!$B$10)</f>
        <v/>
      </c>
      <c r="AC420" s="2">
        <f>AB420*(1+'_Настройки'!$B$8)</f>
        <v/>
      </c>
      <c r="AD420" s="3">
        <f>'_Настройки'!$B$2</f>
        <v/>
      </c>
      <c r="AE420" s="2">
        <f>L420*AD420</f>
        <v/>
      </c>
      <c r="AF420" s="3">
        <f>'_Настройки'!$B$3</f>
        <v/>
      </c>
      <c r="AG420" s="3">
        <f>IFERROR(INDEX('_Комиссия_ВБ'!$B:$B;MATCH(C420;'_Комиссия_ВБ'!$A:$A;0));0,245)</f>
        <v/>
      </c>
      <c r="AH420" s="3">
        <f>AG420+AF420</f>
        <v/>
      </c>
      <c r="AI420" s="2">
        <f>L420*AH420</f>
        <v/>
      </c>
      <c r="AJ420" s="3">
        <f>IFERROR(INDEX('_Комиссия_ВБ'!$C:$C;MATCH(C420;'_Комиссия_ВБ'!$A:$A;0));0,28)</f>
        <v/>
      </c>
      <c r="AK420" s="3">
        <f>AJ420+AF420</f>
        <v/>
      </c>
      <c r="AL420" s="2">
        <f>L420*AK420</f>
        <v/>
      </c>
      <c r="AM420" s="2" t="n"/>
      <c r="AO420" s="3">
        <f>'_Настройки'!$B$5</f>
        <v/>
      </c>
      <c r="AP420" s="2">
        <f>IF(K420&gt;0;K420*AO420;0)</f>
        <v/>
      </c>
      <c r="AQ420" s="2">
        <f>L420-K420-AI420-AE420-IF(AM420&gt;0;AM420;'_Настройки'!$B$9)-AP420-AC420</f>
        <v/>
      </c>
      <c r="AR420" s="3">
        <f>IF(L420&gt;0;AQ420/L420;"")</f>
        <v/>
      </c>
      <c r="AS420" s="3">
        <f>IF(K420&gt;0;AQ420/K420;"")</f>
        <v/>
      </c>
      <c r="AT420" s="2">
        <f>L420-K420-AL420-AE420-IF(AM420&gt;0;AM420;'_Настройки'!$B$9)-AP420-AC420</f>
        <v/>
      </c>
      <c r="AU420" s="3">
        <f>IF(L420&gt;0;AT420/L420;"")</f>
        <v/>
      </c>
      <c r="AV420" s="3">
        <f>IF(K420&gt;0;AT420/K420;"")</f>
        <v/>
      </c>
    </row>
    <row r="421">
      <c r="A421">
        <f>ROW()-1</f>
        <v/>
      </c>
      <c r="K421" s="2">
        <f>IFERROR(INDEX('_Цены_закупки'!$B:$B;MATCH(C421;'_Цены_закупки'!$A:$A;0));"")</f>
        <v/>
      </c>
      <c r="L421" s="2" t="n"/>
      <c r="M421" s="2" t="n"/>
      <c r="N421" s="3">
        <f>IF(AND(M421&gt;0;L421&gt;0);1-L421/M421;"")</f>
        <v/>
      </c>
      <c r="O421" s="2">
        <f>IF(OR(Q421="";K421=0);"";(K421+IF(AM421&gt;0;AM421;'_Настройки'!$B$9)+AP421+AC421+Q421*K421)/(1-AH421-AD421))</f>
        <v/>
      </c>
      <c r="P421" s="2">
        <f>IF(O421="";"";O421-K421-O421*AH421-O421*AD421-IF(AM421&gt;0;AM421;'_Настройки'!$B$9)-AP421-AC421)</f>
        <v/>
      </c>
      <c r="Q421" s="3">
        <f>IF(AND(O421&gt;0;K421&gt;0);P421/K421;"")</f>
        <v/>
      </c>
      <c r="R421" s="2">
        <f>IF(O421="";"";O421-K421-O421*AK421-O421*AD421-IF(AM421&gt;0;AM421;'_Настройки'!$B$9)-AP421-AC421)</f>
        <v/>
      </c>
      <c r="S421" s="3">
        <f>IF(AND(O421&gt;0;K421&gt;0);R421/K421;"")</f>
        <v/>
      </c>
      <c r="T421" s="2" t="n"/>
      <c r="U421" s="3">
        <f>IF(AND(L421&gt;0;T421&gt;0);1-T421/L421;"")</f>
        <v/>
      </c>
      <c r="V421" s="3">
        <f>'_Настройки'!$B$4</f>
        <v/>
      </c>
      <c r="Z421" s="4">
        <f>IF(AND(W421&gt;0;X421&gt;0;Y421&gt;0);W421*X421*Y421/1000;"")</f>
        <v/>
      </c>
      <c r="AB421" s="2">
        <f>('_Настройки'!$B$6+MAX(0;Z421-1)*'_Настройки'!$B$7)*IF(AA421&gt;0;AA421;'_Настройки'!$B$10)</f>
        <v/>
      </c>
      <c r="AC421" s="2">
        <f>AB421*(1+'_Настройки'!$B$8)</f>
        <v/>
      </c>
      <c r="AD421" s="3">
        <f>'_Настройки'!$B$2</f>
        <v/>
      </c>
      <c r="AE421" s="2">
        <f>L421*AD421</f>
        <v/>
      </c>
      <c r="AF421" s="3">
        <f>'_Настройки'!$B$3</f>
        <v/>
      </c>
      <c r="AG421" s="3">
        <f>IFERROR(INDEX('_Комиссия_ВБ'!$B:$B;MATCH(C421;'_Комиссия_ВБ'!$A:$A;0));0,245)</f>
        <v/>
      </c>
      <c r="AH421" s="3">
        <f>AG421+AF421</f>
        <v/>
      </c>
      <c r="AI421" s="2">
        <f>L421*AH421</f>
        <v/>
      </c>
      <c r="AJ421" s="3">
        <f>IFERROR(INDEX('_Комиссия_ВБ'!$C:$C;MATCH(C421;'_Комиссия_ВБ'!$A:$A;0));0,28)</f>
        <v/>
      </c>
      <c r="AK421" s="3">
        <f>AJ421+AF421</f>
        <v/>
      </c>
      <c r="AL421" s="2">
        <f>L421*AK421</f>
        <v/>
      </c>
      <c r="AM421" s="2" t="n"/>
      <c r="AO421" s="3">
        <f>'_Настройки'!$B$5</f>
        <v/>
      </c>
      <c r="AP421" s="2">
        <f>IF(K421&gt;0;K421*AO421;0)</f>
        <v/>
      </c>
      <c r="AQ421" s="2">
        <f>L421-K421-AI421-AE421-IF(AM421&gt;0;AM421;'_Настройки'!$B$9)-AP421-AC421</f>
        <v/>
      </c>
      <c r="AR421" s="3">
        <f>IF(L421&gt;0;AQ421/L421;"")</f>
        <v/>
      </c>
      <c r="AS421" s="3">
        <f>IF(K421&gt;0;AQ421/K421;"")</f>
        <v/>
      </c>
      <c r="AT421" s="2">
        <f>L421-K421-AL421-AE421-IF(AM421&gt;0;AM421;'_Настройки'!$B$9)-AP421-AC421</f>
        <v/>
      </c>
      <c r="AU421" s="3">
        <f>IF(L421&gt;0;AT421/L421;"")</f>
        <v/>
      </c>
      <c r="AV421" s="3">
        <f>IF(K421&gt;0;AT421/K421;"")</f>
        <v/>
      </c>
    </row>
    <row r="422">
      <c r="A422">
        <f>ROW()-1</f>
        <v/>
      </c>
      <c r="K422" s="2">
        <f>IFERROR(INDEX('_Цены_закупки'!$B:$B;MATCH(C422;'_Цены_закупки'!$A:$A;0));"")</f>
        <v/>
      </c>
      <c r="L422" s="2" t="n"/>
      <c r="M422" s="2" t="n"/>
      <c r="N422" s="3">
        <f>IF(AND(M422&gt;0;L422&gt;0);1-L422/M422;"")</f>
        <v/>
      </c>
      <c r="O422" s="2">
        <f>IF(OR(Q422="";K422=0);"";(K422+IF(AM422&gt;0;AM422;'_Настройки'!$B$9)+AP422+AC422+Q422*K422)/(1-AH422-AD422))</f>
        <v/>
      </c>
      <c r="P422" s="2">
        <f>IF(O422="";"";O422-K422-O422*AH422-O422*AD422-IF(AM422&gt;0;AM422;'_Настройки'!$B$9)-AP422-AC422)</f>
        <v/>
      </c>
      <c r="Q422" s="3">
        <f>IF(AND(O422&gt;0;K422&gt;0);P422/K422;"")</f>
        <v/>
      </c>
      <c r="R422" s="2">
        <f>IF(O422="";"";O422-K422-O422*AK422-O422*AD422-IF(AM422&gt;0;AM422;'_Настройки'!$B$9)-AP422-AC422)</f>
        <v/>
      </c>
      <c r="S422" s="3">
        <f>IF(AND(O422&gt;0;K422&gt;0);R422/K422;"")</f>
        <v/>
      </c>
      <c r="T422" s="2" t="n"/>
      <c r="U422" s="3">
        <f>IF(AND(L422&gt;0;T422&gt;0);1-T422/L422;"")</f>
        <v/>
      </c>
      <c r="V422" s="3">
        <f>'_Настройки'!$B$4</f>
        <v/>
      </c>
      <c r="Z422" s="4">
        <f>IF(AND(W422&gt;0;X422&gt;0;Y422&gt;0);W422*X422*Y422/1000;"")</f>
        <v/>
      </c>
      <c r="AB422" s="2">
        <f>('_Настройки'!$B$6+MAX(0;Z422-1)*'_Настройки'!$B$7)*IF(AA422&gt;0;AA422;'_Настройки'!$B$10)</f>
        <v/>
      </c>
      <c r="AC422" s="2">
        <f>AB422*(1+'_Настройки'!$B$8)</f>
        <v/>
      </c>
      <c r="AD422" s="3">
        <f>'_Настройки'!$B$2</f>
        <v/>
      </c>
      <c r="AE422" s="2">
        <f>L422*AD422</f>
        <v/>
      </c>
      <c r="AF422" s="3">
        <f>'_Настройки'!$B$3</f>
        <v/>
      </c>
      <c r="AG422" s="3">
        <f>IFERROR(INDEX('_Комиссия_ВБ'!$B:$B;MATCH(C422;'_Комиссия_ВБ'!$A:$A;0));0,245)</f>
        <v/>
      </c>
      <c r="AH422" s="3">
        <f>AG422+AF422</f>
        <v/>
      </c>
      <c r="AI422" s="2">
        <f>L422*AH422</f>
        <v/>
      </c>
      <c r="AJ422" s="3">
        <f>IFERROR(INDEX('_Комиссия_ВБ'!$C:$C;MATCH(C422;'_Комиссия_ВБ'!$A:$A;0));0,28)</f>
        <v/>
      </c>
      <c r="AK422" s="3">
        <f>AJ422+AF422</f>
        <v/>
      </c>
      <c r="AL422" s="2">
        <f>L422*AK422</f>
        <v/>
      </c>
      <c r="AM422" s="2" t="n"/>
      <c r="AO422" s="3">
        <f>'_Настройки'!$B$5</f>
        <v/>
      </c>
      <c r="AP422" s="2">
        <f>IF(K422&gt;0;K422*AO422;0)</f>
        <v/>
      </c>
      <c r="AQ422" s="2">
        <f>L422-K422-AI422-AE422-IF(AM422&gt;0;AM422;'_Настройки'!$B$9)-AP422-AC422</f>
        <v/>
      </c>
      <c r="AR422" s="3">
        <f>IF(L422&gt;0;AQ422/L422;"")</f>
        <v/>
      </c>
      <c r="AS422" s="3">
        <f>IF(K422&gt;0;AQ422/K422;"")</f>
        <v/>
      </c>
      <c r="AT422" s="2">
        <f>L422-K422-AL422-AE422-IF(AM422&gt;0;AM422;'_Настройки'!$B$9)-AP422-AC422</f>
        <v/>
      </c>
      <c r="AU422" s="3">
        <f>IF(L422&gt;0;AT422/L422;"")</f>
        <v/>
      </c>
      <c r="AV422" s="3">
        <f>IF(K422&gt;0;AT422/K422;"")</f>
        <v/>
      </c>
    </row>
    <row r="423">
      <c r="A423">
        <f>ROW()-1</f>
        <v/>
      </c>
      <c r="K423" s="2">
        <f>IFERROR(INDEX('_Цены_закупки'!$B:$B;MATCH(C423;'_Цены_закупки'!$A:$A;0));"")</f>
        <v/>
      </c>
      <c r="L423" s="2" t="n"/>
      <c r="M423" s="2" t="n"/>
      <c r="N423" s="3">
        <f>IF(AND(M423&gt;0;L423&gt;0);1-L423/M423;"")</f>
        <v/>
      </c>
      <c r="O423" s="2">
        <f>IF(OR(Q423="";K423=0);"";(K423+IF(AM423&gt;0;AM423;'_Настройки'!$B$9)+AP423+AC423+Q423*K423)/(1-AH423-AD423))</f>
        <v/>
      </c>
      <c r="P423" s="2">
        <f>IF(O423="";"";O423-K423-O423*AH423-O423*AD423-IF(AM423&gt;0;AM423;'_Настройки'!$B$9)-AP423-AC423)</f>
        <v/>
      </c>
      <c r="Q423" s="3">
        <f>IF(AND(O423&gt;0;K423&gt;0);P423/K423;"")</f>
        <v/>
      </c>
      <c r="R423" s="2">
        <f>IF(O423="";"";O423-K423-O423*AK423-O423*AD423-IF(AM423&gt;0;AM423;'_Настройки'!$B$9)-AP423-AC423)</f>
        <v/>
      </c>
      <c r="S423" s="3">
        <f>IF(AND(O423&gt;0;K423&gt;0);R423/K423;"")</f>
        <v/>
      </c>
      <c r="T423" s="2" t="n"/>
      <c r="U423" s="3">
        <f>IF(AND(L423&gt;0;T423&gt;0);1-T423/L423;"")</f>
        <v/>
      </c>
      <c r="V423" s="3">
        <f>'_Настройки'!$B$4</f>
        <v/>
      </c>
      <c r="Z423" s="4">
        <f>IF(AND(W423&gt;0;X423&gt;0;Y423&gt;0);W423*X423*Y423/1000;"")</f>
        <v/>
      </c>
      <c r="AB423" s="2">
        <f>('_Настройки'!$B$6+MAX(0;Z423-1)*'_Настройки'!$B$7)*IF(AA423&gt;0;AA423;'_Настройки'!$B$10)</f>
        <v/>
      </c>
      <c r="AC423" s="2">
        <f>AB423*(1+'_Настройки'!$B$8)</f>
        <v/>
      </c>
      <c r="AD423" s="3">
        <f>'_Настройки'!$B$2</f>
        <v/>
      </c>
      <c r="AE423" s="2">
        <f>L423*AD423</f>
        <v/>
      </c>
      <c r="AF423" s="3">
        <f>'_Настройки'!$B$3</f>
        <v/>
      </c>
      <c r="AG423" s="3">
        <f>IFERROR(INDEX('_Комиссия_ВБ'!$B:$B;MATCH(C423;'_Комиссия_ВБ'!$A:$A;0));0,245)</f>
        <v/>
      </c>
      <c r="AH423" s="3">
        <f>AG423+AF423</f>
        <v/>
      </c>
      <c r="AI423" s="2">
        <f>L423*AH423</f>
        <v/>
      </c>
      <c r="AJ423" s="3">
        <f>IFERROR(INDEX('_Комиссия_ВБ'!$C:$C;MATCH(C423;'_Комиссия_ВБ'!$A:$A;0));0,28)</f>
        <v/>
      </c>
      <c r="AK423" s="3">
        <f>AJ423+AF423</f>
        <v/>
      </c>
      <c r="AL423" s="2">
        <f>L423*AK423</f>
        <v/>
      </c>
      <c r="AM423" s="2" t="n"/>
      <c r="AO423" s="3">
        <f>'_Настройки'!$B$5</f>
        <v/>
      </c>
      <c r="AP423" s="2">
        <f>IF(K423&gt;0;K423*AO423;0)</f>
        <v/>
      </c>
      <c r="AQ423" s="2">
        <f>L423-K423-AI423-AE423-IF(AM423&gt;0;AM423;'_Настройки'!$B$9)-AP423-AC423</f>
        <v/>
      </c>
      <c r="AR423" s="3">
        <f>IF(L423&gt;0;AQ423/L423;"")</f>
        <v/>
      </c>
      <c r="AS423" s="3">
        <f>IF(K423&gt;0;AQ423/K423;"")</f>
        <v/>
      </c>
      <c r="AT423" s="2">
        <f>L423-K423-AL423-AE423-IF(AM423&gt;0;AM423;'_Настройки'!$B$9)-AP423-AC423</f>
        <v/>
      </c>
      <c r="AU423" s="3">
        <f>IF(L423&gt;0;AT423/L423;"")</f>
        <v/>
      </c>
      <c r="AV423" s="3">
        <f>IF(K423&gt;0;AT423/K423;"")</f>
        <v/>
      </c>
    </row>
    <row r="424">
      <c r="A424">
        <f>ROW()-1</f>
        <v/>
      </c>
      <c r="K424" s="2">
        <f>IFERROR(INDEX('_Цены_закупки'!$B:$B;MATCH(C424;'_Цены_закупки'!$A:$A;0));"")</f>
        <v/>
      </c>
      <c r="L424" s="2" t="n"/>
      <c r="M424" s="2" t="n"/>
      <c r="N424" s="3">
        <f>IF(AND(M424&gt;0;L424&gt;0);1-L424/M424;"")</f>
        <v/>
      </c>
      <c r="O424" s="2">
        <f>IF(OR(Q424="";K424=0);"";(K424+IF(AM424&gt;0;AM424;'_Настройки'!$B$9)+AP424+AC424+Q424*K424)/(1-AH424-AD424))</f>
        <v/>
      </c>
      <c r="P424" s="2">
        <f>IF(O424="";"";O424-K424-O424*AH424-O424*AD424-IF(AM424&gt;0;AM424;'_Настройки'!$B$9)-AP424-AC424)</f>
        <v/>
      </c>
      <c r="Q424" s="3">
        <f>IF(AND(O424&gt;0;K424&gt;0);P424/K424;"")</f>
        <v/>
      </c>
      <c r="R424" s="2">
        <f>IF(O424="";"";O424-K424-O424*AK424-O424*AD424-IF(AM424&gt;0;AM424;'_Настройки'!$B$9)-AP424-AC424)</f>
        <v/>
      </c>
      <c r="S424" s="3">
        <f>IF(AND(O424&gt;0;K424&gt;0);R424/K424;"")</f>
        <v/>
      </c>
      <c r="T424" s="2" t="n"/>
      <c r="U424" s="3">
        <f>IF(AND(L424&gt;0;T424&gt;0);1-T424/L424;"")</f>
        <v/>
      </c>
      <c r="V424" s="3">
        <f>'_Настройки'!$B$4</f>
        <v/>
      </c>
      <c r="Z424" s="4">
        <f>IF(AND(W424&gt;0;X424&gt;0;Y424&gt;0);W424*X424*Y424/1000;"")</f>
        <v/>
      </c>
      <c r="AB424" s="2">
        <f>('_Настройки'!$B$6+MAX(0;Z424-1)*'_Настройки'!$B$7)*IF(AA424&gt;0;AA424;'_Настройки'!$B$10)</f>
        <v/>
      </c>
      <c r="AC424" s="2">
        <f>AB424*(1+'_Настройки'!$B$8)</f>
        <v/>
      </c>
      <c r="AD424" s="3">
        <f>'_Настройки'!$B$2</f>
        <v/>
      </c>
      <c r="AE424" s="2">
        <f>L424*AD424</f>
        <v/>
      </c>
      <c r="AF424" s="3">
        <f>'_Настройки'!$B$3</f>
        <v/>
      </c>
      <c r="AG424" s="3">
        <f>IFERROR(INDEX('_Комиссия_ВБ'!$B:$B;MATCH(C424;'_Комиссия_ВБ'!$A:$A;0));0,245)</f>
        <v/>
      </c>
      <c r="AH424" s="3">
        <f>AG424+AF424</f>
        <v/>
      </c>
      <c r="AI424" s="2">
        <f>L424*AH424</f>
        <v/>
      </c>
      <c r="AJ424" s="3">
        <f>IFERROR(INDEX('_Комиссия_ВБ'!$C:$C;MATCH(C424;'_Комиссия_ВБ'!$A:$A;0));0,28)</f>
        <v/>
      </c>
      <c r="AK424" s="3">
        <f>AJ424+AF424</f>
        <v/>
      </c>
      <c r="AL424" s="2">
        <f>L424*AK424</f>
        <v/>
      </c>
      <c r="AM424" s="2" t="n"/>
      <c r="AO424" s="3">
        <f>'_Настройки'!$B$5</f>
        <v/>
      </c>
      <c r="AP424" s="2">
        <f>IF(K424&gt;0;K424*AO424;0)</f>
        <v/>
      </c>
      <c r="AQ424" s="2">
        <f>L424-K424-AI424-AE424-IF(AM424&gt;0;AM424;'_Настройки'!$B$9)-AP424-AC424</f>
        <v/>
      </c>
      <c r="AR424" s="3">
        <f>IF(L424&gt;0;AQ424/L424;"")</f>
        <v/>
      </c>
      <c r="AS424" s="3">
        <f>IF(K424&gt;0;AQ424/K424;"")</f>
        <v/>
      </c>
      <c r="AT424" s="2">
        <f>L424-K424-AL424-AE424-IF(AM424&gt;0;AM424;'_Настройки'!$B$9)-AP424-AC424</f>
        <v/>
      </c>
      <c r="AU424" s="3">
        <f>IF(L424&gt;0;AT424/L424;"")</f>
        <v/>
      </c>
      <c r="AV424" s="3">
        <f>IF(K424&gt;0;AT424/K424;"")</f>
        <v/>
      </c>
    </row>
    <row r="425">
      <c r="A425">
        <f>ROW()-1</f>
        <v/>
      </c>
      <c r="K425" s="2">
        <f>IFERROR(INDEX('_Цены_закупки'!$B:$B;MATCH(C425;'_Цены_закупки'!$A:$A;0));"")</f>
        <v/>
      </c>
      <c r="L425" s="2" t="n"/>
      <c r="M425" s="2" t="n"/>
      <c r="N425" s="3">
        <f>IF(AND(M425&gt;0;L425&gt;0);1-L425/M425;"")</f>
        <v/>
      </c>
      <c r="O425" s="2">
        <f>IF(OR(Q425="";K425=0);"";(K425+IF(AM425&gt;0;AM425;'_Настройки'!$B$9)+AP425+AC425+Q425*K425)/(1-AH425-AD425))</f>
        <v/>
      </c>
      <c r="P425" s="2">
        <f>IF(O425="";"";O425-K425-O425*AH425-O425*AD425-IF(AM425&gt;0;AM425;'_Настройки'!$B$9)-AP425-AC425)</f>
        <v/>
      </c>
      <c r="Q425" s="3">
        <f>IF(AND(O425&gt;0;K425&gt;0);P425/K425;"")</f>
        <v/>
      </c>
      <c r="R425" s="2">
        <f>IF(O425="";"";O425-K425-O425*AK425-O425*AD425-IF(AM425&gt;0;AM425;'_Настройки'!$B$9)-AP425-AC425)</f>
        <v/>
      </c>
      <c r="S425" s="3">
        <f>IF(AND(O425&gt;0;K425&gt;0);R425/K425;"")</f>
        <v/>
      </c>
      <c r="T425" s="2" t="n"/>
      <c r="U425" s="3">
        <f>IF(AND(L425&gt;0;T425&gt;0);1-T425/L425;"")</f>
        <v/>
      </c>
      <c r="V425" s="3">
        <f>'_Настройки'!$B$4</f>
        <v/>
      </c>
      <c r="Z425" s="4">
        <f>IF(AND(W425&gt;0;X425&gt;0;Y425&gt;0);W425*X425*Y425/1000;"")</f>
        <v/>
      </c>
      <c r="AB425" s="2">
        <f>('_Настройки'!$B$6+MAX(0;Z425-1)*'_Настройки'!$B$7)*IF(AA425&gt;0;AA425;'_Настройки'!$B$10)</f>
        <v/>
      </c>
      <c r="AC425" s="2">
        <f>AB425*(1+'_Настройки'!$B$8)</f>
        <v/>
      </c>
      <c r="AD425" s="3">
        <f>'_Настройки'!$B$2</f>
        <v/>
      </c>
      <c r="AE425" s="2">
        <f>L425*AD425</f>
        <v/>
      </c>
      <c r="AF425" s="3">
        <f>'_Настройки'!$B$3</f>
        <v/>
      </c>
      <c r="AG425" s="3">
        <f>IFERROR(INDEX('_Комиссия_ВБ'!$B:$B;MATCH(C425;'_Комиссия_ВБ'!$A:$A;0));0,245)</f>
        <v/>
      </c>
      <c r="AH425" s="3">
        <f>AG425+AF425</f>
        <v/>
      </c>
      <c r="AI425" s="2">
        <f>L425*AH425</f>
        <v/>
      </c>
      <c r="AJ425" s="3">
        <f>IFERROR(INDEX('_Комиссия_ВБ'!$C:$C;MATCH(C425;'_Комиссия_ВБ'!$A:$A;0));0,28)</f>
        <v/>
      </c>
      <c r="AK425" s="3">
        <f>AJ425+AF425</f>
        <v/>
      </c>
      <c r="AL425" s="2">
        <f>L425*AK425</f>
        <v/>
      </c>
      <c r="AM425" s="2" t="n"/>
      <c r="AO425" s="3">
        <f>'_Настройки'!$B$5</f>
        <v/>
      </c>
      <c r="AP425" s="2">
        <f>IF(K425&gt;0;K425*AO425;0)</f>
        <v/>
      </c>
      <c r="AQ425" s="2">
        <f>L425-K425-AI425-AE425-IF(AM425&gt;0;AM425;'_Настройки'!$B$9)-AP425-AC425</f>
        <v/>
      </c>
      <c r="AR425" s="3">
        <f>IF(L425&gt;0;AQ425/L425;"")</f>
        <v/>
      </c>
      <c r="AS425" s="3">
        <f>IF(K425&gt;0;AQ425/K425;"")</f>
        <v/>
      </c>
      <c r="AT425" s="2">
        <f>L425-K425-AL425-AE425-IF(AM425&gt;0;AM425;'_Настройки'!$B$9)-AP425-AC425</f>
        <v/>
      </c>
      <c r="AU425" s="3">
        <f>IF(L425&gt;0;AT425/L425;"")</f>
        <v/>
      </c>
      <c r="AV425" s="3">
        <f>IF(K425&gt;0;AT425/K425;"")</f>
        <v/>
      </c>
    </row>
    <row r="426">
      <c r="A426">
        <f>ROW()-1</f>
        <v/>
      </c>
      <c r="K426" s="2">
        <f>IFERROR(INDEX('_Цены_закупки'!$B:$B;MATCH(C426;'_Цены_закупки'!$A:$A;0));"")</f>
        <v/>
      </c>
      <c r="L426" s="2" t="n"/>
      <c r="M426" s="2" t="n"/>
      <c r="N426" s="3">
        <f>IF(AND(M426&gt;0;L426&gt;0);1-L426/M426;"")</f>
        <v/>
      </c>
      <c r="O426" s="2">
        <f>IF(OR(Q426="";K426=0);"";(K426+IF(AM426&gt;0;AM426;'_Настройки'!$B$9)+AP426+AC426+Q426*K426)/(1-AH426-AD426))</f>
        <v/>
      </c>
      <c r="P426" s="2">
        <f>IF(O426="";"";O426-K426-O426*AH426-O426*AD426-IF(AM426&gt;0;AM426;'_Настройки'!$B$9)-AP426-AC426)</f>
        <v/>
      </c>
      <c r="Q426" s="3">
        <f>IF(AND(O426&gt;0;K426&gt;0);P426/K426;"")</f>
        <v/>
      </c>
      <c r="R426" s="2">
        <f>IF(O426="";"";O426-K426-O426*AK426-O426*AD426-IF(AM426&gt;0;AM426;'_Настройки'!$B$9)-AP426-AC426)</f>
        <v/>
      </c>
      <c r="S426" s="3">
        <f>IF(AND(O426&gt;0;K426&gt;0);R426/K426;"")</f>
        <v/>
      </c>
      <c r="T426" s="2" t="n"/>
      <c r="U426" s="3">
        <f>IF(AND(L426&gt;0;T426&gt;0);1-T426/L426;"")</f>
        <v/>
      </c>
      <c r="V426" s="3">
        <f>'_Настройки'!$B$4</f>
        <v/>
      </c>
      <c r="Z426" s="4">
        <f>IF(AND(W426&gt;0;X426&gt;0;Y426&gt;0);W426*X426*Y426/1000;"")</f>
        <v/>
      </c>
      <c r="AB426" s="2">
        <f>('_Настройки'!$B$6+MAX(0;Z426-1)*'_Настройки'!$B$7)*IF(AA426&gt;0;AA426;'_Настройки'!$B$10)</f>
        <v/>
      </c>
      <c r="AC426" s="2">
        <f>AB426*(1+'_Настройки'!$B$8)</f>
        <v/>
      </c>
      <c r="AD426" s="3">
        <f>'_Настройки'!$B$2</f>
        <v/>
      </c>
      <c r="AE426" s="2">
        <f>L426*AD426</f>
        <v/>
      </c>
      <c r="AF426" s="3">
        <f>'_Настройки'!$B$3</f>
        <v/>
      </c>
      <c r="AG426" s="3">
        <f>IFERROR(INDEX('_Комиссия_ВБ'!$B:$B;MATCH(C426;'_Комиссия_ВБ'!$A:$A;0));0,245)</f>
        <v/>
      </c>
      <c r="AH426" s="3">
        <f>AG426+AF426</f>
        <v/>
      </c>
      <c r="AI426" s="2">
        <f>L426*AH426</f>
        <v/>
      </c>
      <c r="AJ426" s="3">
        <f>IFERROR(INDEX('_Комиссия_ВБ'!$C:$C;MATCH(C426;'_Комиссия_ВБ'!$A:$A;0));0,28)</f>
        <v/>
      </c>
      <c r="AK426" s="3">
        <f>AJ426+AF426</f>
        <v/>
      </c>
      <c r="AL426" s="2">
        <f>L426*AK426</f>
        <v/>
      </c>
      <c r="AM426" s="2" t="n"/>
      <c r="AO426" s="3">
        <f>'_Настройки'!$B$5</f>
        <v/>
      </c>
      <c r="AP426" s="2">
        <f>IF(K426&gt;0;K426*AO426;0)</f>
        <v/>
      </c>
      <c r="AQ426" s="2">
        <f>L426-K426-AI426-AE426-IF(AM426&gt;0;AM426;'_Настройки'!$B$9)-AP426-AC426</f>
        <v/>
      </c>
      <c r="AR426" s="3">
        <f>IF(L426&gt;0;AQ426/L426;"")</f>
        <v/>
      </c>
      <c r="AS426" s="3">
        <f>IF(K426&gt;0;AQ426/K426;"")</f>
        <v/>
      </c>
      <c r="AT426" s="2">
        <f>L426-K426-AL426-AE426-IF(AM426&gt;0;AM426;'_Настройки'!$B$9)-AP426-AC426</f>
        <v/>
      </c>
      <c r="AU426" s="3">
        <f>IF(L426&gt;0;AT426/L426;"")</f>
        <v/>
      </c>
      <c r="AV426" s="3">
        <f>IF(K426&gt;0;AT426/K426;"")</f>
        <v/>
      </c>
    </row>
    <row r="427">
      <c r="A427">
        <f>ROW()-1</f>
        <v/>
      </c>
      <c r="K427" s="2">
        <f>IFERROR(INDEX('_Цены_закупки'!$B:$B;MATCH(C427;'_Цены_закупки'!$A:$A;0));"")</f>
        <v/>
      </c>
      <c r="L427" s="2" t="n"/>
      <c r="M427" s="2" t="n"/>
      <c r="N427" s="3">
        <f>IF(AND(M427&gt;0;L427&gt;0);1-L427/M427;"")</f>
        <v/>
      </c>
      <c r="O427" s="2">
        <f>IF(OR(Q427="";K427=0);"";(K427+IF(AM427&gt;0;AM427;'_Настройки'!$B$9)+AP427+AC427+Q427*K427)/(1-AH427-AD427))</f>
        <v/>
      </c>
      <c r="P427" s="2">
        <f>IF(O427="";"";O427-K427-O427*AH427-O427*AD427-IF(AM427&gt;0;AM427;'_Настройки'!$B$9)-AP427-AC427)</f>
        <v/>
      </c>
      <c r="Q427" s="3">
        <f>IF(AND(O427&gt;0;K427&gt;0);P427/K427;"")</f>
        <v/>
      </c>
      <c r="R427" s="2">
        <f>IF(O427="";"";O427-K427-O427*AK427-O427*AD427-IF(AM427&gt;0;AM427;'_Настройки'!$B$9)-AP427-AC427)</f>
        <v/>
      </c>
      <c r="S427" s="3">
        <f>IF(AND(O427&gt;0;K427&gt;0);R427/K427;"")</f>
        <v/>
      </c>
      <c r="T427" s="2" t="n"/>
      <c r="U427" s="3">
        <f>IF(AND(L427&gt;0;T427&gt;0);1-T427/L427;"")</f>
        <v/>
      </c>
      <c r="V427" s="3">
        <f>'_Настройки'!$B$4</f>
        <v/>
      </c>
      <c r="Z427" s="4">
        <f>IF(AND(W427&gt;0;X427&gt;0;Y427&gt;0);W427*X427*Y427/1000;"")</f>
        <v/>
      </c>
      <c r="AB427" s="2">
        <f>('_Настройки'!$B$6+MAX(0;Z427-1)*'_Настройки'!$B$7)*IF(AA427&gt;0;AA427;'_Настройки'!$B$10)</f>
        <v/>
      </c>
      <c r="AC427" s="2">
        <f>AB427*(1+'_Настройки'!$B$8)</f>
        <v/>
      </c>
      <c r="AD427" s="3">
        <f>'_Настройки'!$B$2</f>
        <v/>
      </c>
      <c r="AE427" s="2">
        <f>L427*AD427</f>
        <v/>
      </c>
      <c r="AF427" s="3">
        <f>'_Настройки'!$B$3</f>
        <v/>
      </c>
      <c r="AG427" s="3">
        <f>IFERROR(INDEX('_Комиссия_ВБ'!$B:$B;MATCH(C427;'_Комиссия_ВБ'!$A:$A;0));0,245)</f>
        <v/>
      </c>
      <c r="AH427" s="3">
        <f>AG427+AF427</f>
        <v/>
      </c>
      <c r="AI427" s="2">
        <f>L427*AH427</f>
        <v/>
      </c>
      <c r="AJ427" s="3">
        <f>IFERROR(INDEX('_Комиссия_ВБ'!$C:$C;MATCH(C427;'_Комиссия_ВБ'!$A:$A;0));0,28)</f>
        <v/>
      </c>
      <c r="AK427" s="3">
        <f>AJ427+AF427</f>
        <v/>
      </c>
      <c r="AL427" s="2">
        <f>L427*AK427</f>
        <v/>
      </c>
      <c r="AM427" s="2" t="n"/>
      <c r="AO427" s="3">
        <f>'_Настройки'!$B$5</f>
        <v/>
      </c>
      <c r="AP427" s="2">
        <f>IF(K427&gt;0;K427*AO427;0)</f>
        <v/>
      </c>
      <c r="AQ427" s="2">
        <f>L427-K427-AI427-AE427-IF(AM427&gt;0;AM427;'_Настройки'!$B$9)-AP427-AC427</f>
        <v/>
      </c>
      <c r="AR427" s="3">
        <f>IF(L427&gt;0;AQ427/L427;"")</f>
        <v/>
      </c>
      <c r="AS427" s="3">
        <f>IF(K427&gt;0;AQ427/K427;"")</f>
        <v/>
      </c>
      <c r="AT427" s="2">
        <f>L427-K427-AL427-AE427-IF(AM427&gt;0;AM427;'_Настройки'!$B$9)-AP427-AC427</f>
        <v/>
      </c>
      <c r="AU427" s="3">
        <f>IF(L427&gt;0;AT427/L427;"")</f>
        <v/>
      </c>
      <c r="AV427" s="3">
        <f>IF(K427&gt;0;AT427/K427;"")</f>
        <v/>
      </c>
    </row>
    <row r="428">
      <c r="A428">
        <f>ROW()-1</f>
        <v/>
      </c>
      <c r="K428" s="2">
        <f>IFERROR(INDEX('_Цены_закупки'!$B:$B;MATCH(C428;'_Цены_закупки'!$A:$A;0));"")</f>
        <v/>
      </c>
      <c r="L428" s="2" t="n"/>
      <c r="M428" s="2" t="n"/>
      <c r="N428" s="3">
        <f>IF(AND(M428&gt;0;L428&gt;0);1-L428/M428;"")</f>
        <v/>
      </c>
      <c r="O428" s="2">
        <f>IF(OR(Q428="";K428=0);"";(K428+IF(AM428&gt;0;AM428;'_Настройки'!$B$9)+AP428+AC428+Q428*K428)/(1-AH428-AD428))</f>
        <v/>
      </c>
      <c r="P428" s="2">
        <f>IF(O428="";"";O428-K428-O428*AH428-O428*AD428-IF(AM428&gt;0;AM428;'_Настройки'!$B$9)-AP428-AC428)</f>
        <v/>
      </c>
      <c r="Q428" s="3">
        <f>IF(AND(O428&gt;0;K428&gt;0);P428/K428;"")</f>
        <v/>
      </c>
      <c r="R428" s="2">
        <f>IF(O428="";"";O428-K428-O428*AK428-O428*AD428-IF(AM428&gt;0;AM428;'_Настройки'!$B$9)-AP428-AC428)</f>
        <v/>
      </c>
      <c r="S428" s="3">
        <f>IF(AND(O428&gt;0;K428&gt;0);R428/K428;"")</f>
        <v/>
      </c>
      <c r="T428" s="2" t="n"/>
      <c r="U428" s="3">
        <f>IF(AND(L428&gt;0;T428&gt;0);1-T428/L428;"")</f>
        <v/>
      </c>
      <c r="V428" s="3">
        <f>'_Настройки'!$B$4</f>
        <v/>
      </c>
      <c r="Z428" s="4">
        <f>IF(AND(W428&gt;0;X428&gt;0;Y428&gt;0);W428*X428*Y428/1000;"")</f>
        <v/>
      </c>
      <c r="AB428" s="2">
        <f>('_Настройки'!$B$6+MAX(0;Z428-1)*'_Настройки'!$B$7)*IF(AA428&gt;0;AA428;'_Настройки'!$B$10)</f>
        <v/>
      </c>
      <c r="AC428" s="2">
        <f>AB428*(1+'_Настройки'!$B$8)</f>
        <v/>
      </c>
      <c r="AD428" s="3">
        <f>'_Настройки'!$B$2</f>
        <v/>
      </c>
      <c r="AE428" s="2">
        <f>L428*AD428</f>
        <v/>
      </c>
      <c r="AF428" s="3">
        <f>'_Настройки'!$B$3</f>
        <v/>
      </c>
      <c r="AG428" s="3">
        <f>IFERROR(INDEX('_Комиссия_ВБ'!$B:$B;MATCH(C428;'_Комиссия_ВБ'!$A:$A;0));0,245)</f>
        <v/>
      </c>
      <c r="AH428" s="3">
        <f>AG428+AF428</f>
        <v/>
      </c>
      <c r="AI428" s="2">
        <f>L428*AH428</f>
        <v/>
      </c>
      <c r="AJ428" s="3">
        <f>IFERROR(INDEX('_Комиссия_ВБ'!$C:$C;MATCH(C428;'_Комиссия_ВБ'!$A:$A;0));0,28)</f>
        <v/>
      </c>
      <c r="AK428" s="3">
        <f>AJ428+AF428</f>
        <v/>
      </c>
      <c r="AL428" s="2">
        <f>L428*AK428</f>
        <v/>
      </c>
      <c r="AM428" s="2" t="n"/>
      <c r="AO428" s="3">
        <f>'_Настройки'!$B$5</f>
        <v/>
      </c>
      <c r="AP428" s="2">
        <f>IF(K428&gt;0;K428*AO428;0)</f>
        <v/>
      </c>
      <c r="AQ428" s="2">
        <f>L428-K428-AI428-AE428-IF(AM428&gt;0;AM428;'_Настройки'!$B$9)-AP428-AC428</f>
        <v/>
      </c>
      <c r="AR428" s="3">
        <f>IF(L428&gt;0;AQ428/L428;"")</f>
        <v/>
      </c>
      <c r="AS428" s="3">
        <f>IF(K428&gt;0;AQ428/K428;"")</f>
        <v/>
      </c>
      <c r="AT428" s="2">
        <f>L428-K428-AL428-AE428-IF(AM428&gt;0;AM428;'_Настройки'!$B$9)-AP428-AC428</f>
        <v/>
      </c>
      <c r="AU428" s="3">
        <f>IF(L428&gt;0;AT428/L428;"")</f>
        <v/>
      </c>
      <c r="AV428" s="3">
        <f>IF(K428&gt;0;AT428/K428;"")</f>
        <v/>
      </c>
    </row>
    <row r="429">
      <c r="A429">
        <f>ROW()-1</f>
        <v/>
      </c>
      <c r="K429" s="2">
        <f>IFERROR(INDEX('_Цены_закупки'!$B:$B;MATCH(C429;'_Цены_закупки'!$A:$A;0));"")</f>
        <v/>
      </c>
      <c r="L429" s="2" t="n"/>
      <c r="M429" s="2" t="n"/>
      <c r="N429" s="3">
        <f>IF(AND(M429&gt;0;L429&gt;0);1-L429/M429;"")</f>
        <v/>
      </c>
      <c r="O429" s="2">
        <f>IF(OR(Q429="";K429=0);"";(K429+IF(AM429&gt;0;AM429;'_Настройки'!$B$9)+AP429+AC429+Q429*K429)/(1-AH429-AD429))</f>
        <v/>
      </c>
      <c r="P429" s="2">
        <f>IF(O429="";"";O429-K429-O429*AH429-O429*AD429-IF(AM429&gt;0;AM429;'_Настройки'!$B$9)-AP429-AC429)</f>
        <v/>
      </c>
      <c r="Q429" s="3">
        <f>IF(AND(O429&gt;0;K429&gt;0);P429/K429;"")</f>
        <v/>
      </c>
      <c r="R429" s="2">
        <f>IF(O429="";"";O429-K429-O429*AK429-O429*AD429-IF(AM429&gt;0;AM429;'_Настройки'!$B$9)-AP429-AC429)</f>
        <v/>
      </c>
      <c r="S429" s="3">
        <f>IF(AND(O429&gt;0;K429&gt;0);R429/K429;"")</f>
        <v/>
      </c>
      <c r="T429" s="2" t="n"/>
      <c r="U429" s="3">
        <f>IF(AND(L429&gt;0;T429&gt;0);1-T429/L429;"")</f>
        <v/>
      </c>
      <c r="V429" s="3">
        <f>'_Настройки'!$B$4</f>
        <v/>
      </c>
      <c r="Z429" s="4">
        <f>IF(AND(W429&gt;0;X429&gt;0;Y429&gt;0);W429*X429*Y429/1000;"")</f>
        <v/>
      </c>
      <c r="AB429" s="2">
        <f>('_Настройки'!$B$6+MAX(0;Z429-1)*'_Настройки'!$B$7)*IF(AA429&gt;0;AA429;'_Настройки'!$B$10)</f>
        <v/>
      </c>
      <c r="AC429" s="2">
        <f>AB429*(1+'_Настройки'!$B$8)</f>
        <v/>
      </c>
      <c r="AD429" s="3">
        <f>'_Настройки'!$B$2</f>
        <v/>
      </c>
      <c r="AE429" s="2">
        <f>L429*AD429</f>
        <v/>
      </c>
      <c r="AF429" s="3">
        <f>'_Настройки'!$B$3</f>
        <v/>
      </c>
      <c r="AG429" s="3">
        <f>IFERROR(INDEX('_Комиссия_ВБ'!$B:$B;MATCH(C429;'_Комиссия_ВБ'!$A:$A;0));0,245)</f>
        <v/>
      </c>
      <c r="AH429" s="3">
        <f>AG429+AF429</f>
        <v/>
      </c>
      <c r="AI429" s="2">
        <f>L429*AH429</f>
        <v/>
      </c>
      <c r="AJ429" s="3">
        <f>IFERROR(INDEX('_Комиссия_ВБ'!$C:$C;MATCH(C429;'_Комиссия_ВБ'!$A:$A;0));0,28)</f>
        <v/>
      </c>
      <c r="AK429" s="3">
        <f>AJ429+AF429</f>
        <v/>
      </c>
      <c r="AL429" s="2">
        <f>L429*AK429</f>
        <v/>
      </c>
      <c r="AM429" s="2" t="n"/>
      <c r="AO429" s="3">
        <f>'_Настройки'!$B$5</f>
        <v/>
      </c>
      <c r="AP429" s="2">
        <f>IF(K429&gt;0;K429*AO429;0)</f>
        <v/>
      </c>
      <c r="AQ429" s="2">
        <f>L429-K429-AI429-AE429-IF(AM429&gt;0;AM429;'_Настройки'!$B$9)-AP429-AC429</f>
        <v/>
      </c>
      <c r="AR429" s="3">
        <f>IF(L429&gt;0;AQ429/L429;"")</f>
        <v/>
      </c>
      <c r="AS429" s="3">
        <f>IF(K429&gt;0;AQ429/K429;"")</f>
        <v/>
      </c>
      <c r="AT429" s="2">
        <f>L429-K429-AL429-AE429-IF(AM429&gt;0;AM429;'_Настройки'!$B$9)-AP429-AC429</f>
        <v/>
      </c>
      <c r="AU429" s="3">
        <f>IF(L429&gt;0;AT429/L429;"")</f>
        <v/>
      </c>
      <c r="AV429" s="3">
        <f>IF(K429&gt;0;AT429/K429;"")</f>
        <v/>
      </c>
    </row>
    <row r="430">
      <c r="A430">
        <f>ROW()-1</f>
        <v/>
      </c>
      <c r="K430" s="2">
        <f>IFERROR(INDEX('_Цены_закупки'!$B:$B;MATCH(C430;'_Цены_закупки'!$A:$A;0));"")</f>
        <v/>
      </c>
      <c r="L430" s="2" t="n"/>
      <c r="M430" s="2" t="n"/>
      <c r="N430" s="3">
        <f>IF(AND(M430&gt;0;L430&gt;0);1-L430/M430;"")</f>
        <v/>
      </c>
      <c r="O430" s="2">
        <f>IF(OR(Q430="";K430=0);"";(K430+IF(AM430&gt;0;AM430;'_Настройки'!$B$9)+AP430+AC430+Q430*K430)/(1-AH430-AD430))</f>
        <v/>
      </c>
      <c r="P430" s="2">
        <f>IF(O430="";"";O430-K430-O430*AH430-O430*AD430-IF(AM430&gt;0;AM430;'_Настройки'!$B$9)-AP430-AC430)</f>
        <v/>
      </c>
      <c r="Q430" s="3">
        <f>IF(AND(O430&gt;0;K430&gt;0);P430/K430;"")</f>
        <v/>
      </c>
      <c r="R430" s="2">
        <f>IF(O430="";"";O430-K430-O430*AK430-O430*AD430-IF(AM430&gt;0;AM430;'_Настройки'!$B$9)-AP430-AC430)</f>
        <v/>
      </c>
      <c r="S430" s="3">
        <f>IF(AND(O430&gt;0;K430&gt;0);R430/K430;"")</f>
        <v/>
      </c>
      <c r="T430" s="2" t="n"/>
      <c r="U430" s="3">
        <f>IF(AND(L430&gt;0;T430&gt;0);1-T430/L430;"")</f>
        <v/>
      </c>
      <c r="V430" s="3">
        <f>'_Настройки'!$B$4</f>
        <v/>
      </c>
      <c r="Z430" s="4">
        <f>IF(AND(W430&gt;0;X430&gt;0;Y430&gt;0);W430*X430*Y430/1000;"")</f>
        <v/>
      </c>
      <c r="AB430" s="2">
        <f>('_Настройки'!$B$6+MAX(0;Z430-1)*'_Настройки'!$B$7)*IF(AA430&gt;0;AA430;'_Настройки'!$B$10)</f>
        <v/>
      </c>
      <c r="AC430" s="2">
        <f>AB430*(1+'_Настройки'!$B$8)</f>
        <v/>
      </c>
      <c r="AD430" s="3">
        <f>'_Настройки'!$B$2</f>
        <v/>
      </c>
      <c r="AE430" s="2">
        <f>L430*AD430</f>
        <v/>
      </c>
      <c r="AF430" s="3">
        <f>'_Настройки'!$B$3</f>
        <v/>
      </c>
      <c r="AG430" s="3">
        <f>IFERROR(INDEX('_Комиссия_ВБ'!$B:$B;MATCH(C430;'_Комиссия_ВБ'!$A:$A;0));0,245)</f>
        <v/>
      </c>
      <c r="AH430" s="3">
        <f>AG430+AF430</f>
        <v/>
      </c>
      <c r="AI430" s="2">
        <f>L430*AH430</f>
        <v/>
      </c>
      <c r="AJ430" s="3">
        <f>IFERROR(INDEX('_Комиссия_ВБ'!$C:$C;MATCH(C430;'_Комиссия_ВБ'!$A:$A;0));0,28)</f>
        <v/>
      </c>
      <c r="AK430" s="3">
        <f>AJ430+AF430</f>
        <v/>
      </c>
      <c r="AL430" s="2">
        <f>L430*AK430</f>
        <v/>
      </c>
      <c r="AM430" s="2" t="n"/>
      <c r="AO430" s="3">
        <f>'_Настройки'!$B$5</f>
        <v/>
      </c>
      <c r="AP430" s="2">
        <f>IF(K430&gt;0;K430*AO430;0)</f>
        <v/>
      </c>
      <c r="AQ430" s="2">
        <f>L430-K430-AI430-AE430-IF(AM430&gt;0;AM430;'_Настройки'!$B$9)-AP430-AC430</f>
        <v/>
      </c>
      <c r="AR430" s="3">
        <f>IF(L430&gt;0;AQ430/L430;"")</f>
        <v/>
      </c>
      <c r="AS430" s="3">
        <f>IF(K430&gt;0;AQ430/K430;"")</f>
        <v/>
      </c>
      <c r="AT430" s="2">
        <f>L430-K430-AL430-AE430-IF(AM430&gt;0;AM430;'_Настройки'!$B$9)-AP430-AC430</f>
        <v/>
      </c>
      <c r="AU430" s="3">
        <f>IF(L430&gt;0;AT430/L430;"")</f>
        <v/>
      </c>
      <c r="AV430" s="3">
        <f>IF(K430&gt;0;AT430/K430;"")</f>
        <v/>
      </c>
    </row>
    <row r="431">
      <c r="A431">
        <f>ROW()-1</f>
        <v/>
      </c>
      <c r="K431" s="2">
        <f>IFERROR(INDEX('_Цены_закупки'!$B:$B;MATCH(C431;'_Цены_закупки'!$A:$A;0));"")</f>
        <v/>
      </c>
      <c r="L431" s="2" t="n"/>
      <c r="M431" s="2" t="n"/>
      <c r="N431" s="3">
        <f>IF(AND(M431&gt;0;L431&gt;0);1-L431/M431;"")</f>
        <v/>
      </c>
      <c r="O431" s="2">
        <f>IF(OR(Q431="";K431=0);"";(K431+IF(AM431&gt;0;AM431;'_Настройки'!$B$9)+AP431+AC431+Q431*K431)/(1-AH431-AD431))</f>
        <v/>
      </c>
      <c r="P431" s="2">
        <f>IF(O431="";"";O431-K431-O431*AH431-O431*AD431-IF(AM431&gt;0;AM431;'_Настройки'!$B$9)-AP431-AC431)</f>
        <v/>
      </c>
      <c r="Q431" s="3">
        <f>IF(AND(O431&gt;0;K431&gt;0);P431/K431;"")</f>
        <v/>
      </c>
      <c r="R431" s="2">
        <f>IF(O431="";"";O431-K431-O431*AK431-O431*AD431-IF(AM431&gt;0;AM431;'_Настройки'!$B$9)-AP431-AC431)</f>
        <v/>
      </c>
      <c r="S431" s="3">
        <f>IF(AND(O431&gt;0;K431&gt;0);R431/K431;"")</f>
        <v/>
      </c>
      <c r="T431" s="2" t="n"/>
      <c r="U431" s="3">
        <f>IF(AND(L431&gt;0;T431&gt;0);1-T431/L431;"")</f>
        <v/>
      </c>
      <c r="V431" s="3">
        <f>'_Настройки'!$B$4</f>
        <v/>
      </c>
      <c r="Z431" s="4">
        <f>IF(AND(W431&gt;0;X431&gt;0;Y431&gt;0);W431*X431*Y431/1000;"")</f>
        <v/>
      </c>
      <c r="AB431" s="2">
        <f>('_Настройки'!$B$6+MAX(0;Z431-1)*'_Настройки'!$B$7)*IF(AA431&gt;0;AA431;'_Настройки'!$B$10)</f>
        <v/>
      </c>
      <c r="AC431" s="2">
        <f>AB431*(1+'_Настройки'!$B$8)</f>
        <v/>
      </c>
      <c r="AD431" s="3">
        <f>'_Настройки'!$B$2</f>
        <v/>
      </c>
      <c r="AE431" s="2">
        <f>L431*AD431</f>
        <v/>
      </c>
      <c r="AF431" s="3">
        <f>'_Настройки'!$B$3</f>
        <v/>
      </c>
      <c r="AG431" s="3">
        <f>IFERROR(INDEX('_Комиссия_ВБ'!$B:$B;MATCH(C431;'_Комиссия_ВБ'!$A:$A;0));0,245)</f>
        <v/>
      </c>
      <c r="AH431" s="3">
        <f>AG431+AF431</f>
        <v/>
      </c>
      <c r="AI431" s="2">
        <f>L431*AH431</f>
        <v/>
      </c>
      <c r="AJ431" s="3">
        <f>IFERROR(INDEX('_Комиссия_ВБ'!$C:$C;MATCH(C431;'_Комиссия_ВБ'!$A:$A;0));0,28)</f>
        <v/>
      </c>
      <c r="AK431" s="3">
        <f>AJ431+AF431</f>
        <v/>
      </c>
      <c r="AL431" s="2">
        <f>L431*AK431</f>
        <v/>
      </c>
      <c r="AM431" s="2" t="n"/>
      <c r="AO431" s="3">
        <f>'_Настройки'!$B$5</f>
        <v/>
      </c>
      <c r="AP431" s="2">
        <f>IF(K431&gt;0;K431*AO431;0)</f>
        <v/>
      </c>
      <c r="AQ431" s="2">
        <f>L431-K431-AI431-AE431-IF(AM431&gt;0;AM431;'_Настройки'!$B$9)-AP431-AC431</f>
        <v/>
      </c>
      <c r="AR431" s="3">
        <f>IF(L431&gt;0;AQ431/L431;"")</f>
        <v/>
      </c>
      <c r="AS431" s="3">
        <f>IF(K431&gt;0;AQ431/K431;"")</f>
        <v/>
      </c>
      <c r="AT431" s="2">
        <f>L431-K431-AL431-AE431-IF(AM431&gt;0;AM431;'_Настройки'!$B$9)-AP431-AC431</f>
        <v/>
      </c>
      <c r="AU431" s="3">
        <f>IF(L431&gt;0;AT431/L431;"")</f>
        <v/>
      </c>
      <c r="AV431" s="3">
        <f>IF(K431&gt;0;AT431/K431;"")</f>
        <v/>
      </c>
    </row>
    <row r="432">
      <c r="A432">
        <f>ROW()-1</f>
        <v/>
      </c>
      <c r="K432" s="2">
        <f>IFERROR(INDEX('_Цены_закупки'!$B:$B;MATCH(C432;'_Цены_закупки'!$A:$A;0));"")</f>
        <v/>
      </c>
      <c r="L432" s="2" t="n"/>
      <c r="M432" s="2" t="n"/>
      <c r="N432" s="3">
        <f>IF(AND(M432&gt;0;L432&gt;0);1-L432/M432;"")</f>
        <v/>
      </c>
      <c r="O432" s="2">
        <f>IF(OR(Q432="";K432=0);"";(K432+IF(AM432&gt;0;AM432;'_Настройки'!$B$9)+AP432+AC432+Q432*K432)/(1-AH432-AD432))</f>
        <v/>
      </c>
      <c r="P432" s="2">
        <f>IF(O432="";"";O432-K432-O432*AH432-O432*AD432-IF(AM432&gt;0;AM432;'_Настройки'!$B$9)-AP432-AC432)</f>
        <v/>
      </c>
      <c r="Q432" s="3">
        <f>IF(AND(O432&gt;0;K432&gt;0);P432/K432;"")</f>
        <v/>
      </c>
      <c r="R432" s="2">
        <f>IF(O432="";"";O432-K432-O432*AK432-O432*AD432-IF(AM432&gt;0;AM432;'_Настройки'!$B$9)-AP432-AC432)</f>
        <v/>
      </c>
      <c r="S432" s="3">
        <f>IF(AND(O432&gt;0;K432&gt;0);R432/K432;"")</f>
        <v/>
      </c>
      <c r="T432" s="2" t="n"/>
      <c r="U432" s="3">
        <f>IF(AND(L432&gt;0;T432&gt;0);1-T432/L432;"")</f>
        <v/>
      </c>
      <c r="V432" s="3">
        <f>'_Настройки'!$B$4</f>
        <v/>
      </c>
      <c r="Z432" s="4">
        <f>IF(AND(W432&gt;0;X432&gt;0;Y432&gt;0);W432*X432*Y432/1000;"")</f>
        <v/>
      </c>
      <c r="AB432" s="2">
        <f>('_Настройки'!$B$6+MAX(0;Z432-1)*'_Настройки'!$B$7)*IF(AA432&gt;0;AA432;'_Настройки'!$B$10)</f>
        <v/>
      </c>
      <c r="AC432" s="2">
        <f>AB432*(1+'_Настройки'!$B$8)</f>
        <v/>
      </c>
      <c r="AD432" s="3">
        <f>'_Настройки'!$B$2</f>
        <v/>
      </c>
      <c r="AE432" s="2">
        <f>L432*AD432</f>
        <v/>
      </c>
      <c r="AF432" s="3">
        <f>'_Настройки'!$B$3</f>
        <v/>
      </c>
      <c r="AG432" s="3">
        <f>IFERROR(INDEX('_Комиссия_ВБ'!$B:$B;MATCH(C432;'_Комиссия_ВБ'!$A:$A;0));0,245)</f>
        <v/>
      </c>
      <c r="AH432" s="3">
        <f>AG432+AF432</f>
        <v/>
      </c>
      <c r="AI432" s="2">
        <f>L432*AH432</f>
        <v/>
      </c>
      <c r="AJ432" s="3">
        <f>IFERROR(INDEX('_Комиссия_ВБ'!$C:$C;MATCH(C432;'_Комиссия_ВБ'!$A:$A;0));0,28)</f>
        <v/>
      </c>
      <c r="AK432" s="3">
        <f>AJ432+AF432</f>
        <v/>
      </c>
      <c r="AL432" s="2">
        <f>L432*AK432</f>
        <v/>
      </c>
      <c r="AM432" s="2" t="n"/>
      <c r="AO432" s="3">
        <f>'_Настройки'!$B$5</f>
        <v/>
      </c>
      <c r="AP432" s="2">
        <f>IF(K432&gt;0;K432*AO432;0)</f>
        <v/>
      </c>
      <c r="AQ432" s="2">
        <f>L432-K432-AI432-AE432-IF(AM432&gt;0;AM432;'_Настройки'!$B$9)-AP432-AC432</f>
        <v/>
      </c>
      <c r="AR432" s="3">
        <f>IF(L432&gt;0;AQ432/L432;"")</f>
        <v/>
      </c>
      <c r="AS432" s="3">
        <f>IF(K432&gt;0;AQ432/K432;"")</f>
        <v/>
      </c>
      <c r="AT432" s="2">
        <f>L432-K432-AL432-AE432-IF(AM432&gt;0;AM432;'_Настройки'!$B$9)-AP432-AC432</f>
        <v/>
      </c>
      <c r="AU432" s="3">
        <f>IF(L432&gt;0;AT432/L432;"")</f>
        <v/>
      </c>
      <c r="AV432" s="3">
        <f>IF(K432&gt;0;AT432/K432;"")</f>
        <v/>
      </c>
    </row>
    <row r="433">
      <c r="A433">
        <f>ROW()-1</f>
        <v/>
      </c>
      <c r="K433" s="2">
        <f>IFERROR(INDEX('_Цены_закупки'!$B:$B;MATCH(C433;'_Цены_закупки'!$A:$A;0));"")</f>
        <v/>
      </c>
      <c r="L433" s="2" t="n"/>
      <c r="M433" s="2" t="n"/>
      <c r="N433" s="3">
        <f>IF(AND(M433&gt;0;L433&gt;0);1-L433/M433;"")</f>
        <v/>
      </c>
      <c r="O433" s="2">
        <f>IF(OR(Q433="";K433=0);"";(K433+IF(AM433&gt;0;AM433;'_Настройки'!$B$9)+AP433+AC433+Q433*K433)/(1-AH433-AD433))</f>
        <v/>
      </c>
      <c r="P433" s="2">
        <f>IF(O433="";"";O433-K433-O433*AH433-O433*AD433-IF(AM433&gt;0;AM433;'_Настройки'!$B$9)-AP433-AC433)</f>
        <v/>
      </c>
      <c r="Q433" s="3">
        <f>IF(AND(O433&gt;0;K433&gt;0);P433/K433;"")</f>
        <v/>
      </c>
      <c r="R433" s="2">
        <f>IF(O433="";"";O433-K433-O433*AK433-O433*AD433-IF(AM433&gt;0;AM433;'_Настройки'!$B$9)-AP433-AC433)</f>
        <v/>
      </c>
      <c r="S433" s="3">
        <f>IF(AND(O433&gt;0;K433&gt;0);R433/K433;"")</f>
        <v/>
      </c>
      <c r="T433" s="2" t="n"/>
      <c r="U433" s="3">
        <f>IF(AND(L433&gt;0;T433&gt;0);1-T433/L433;"")</f>
        <v/>
      </c>
      <c r="V433" s="3">
        <f>'_Настройки'!$B$4</f>
        <v/>
      </c>
      <c r="Z433" s="4">
        <f>IF(AND(W433&gt;0;X433&gt;0;Y433&gt;0);W433*X433*Y433/1000;"")</f>
        <v/>
      </c>
      <c r="AB433" s="2">
        <f>('_Настройки'!$B$6+MAX(0;Z433-1)*'_Настройки'!$B$7)*IF(AA433&gt;0;AA433;'_Настройки'!$B$10)</f>
        <v/>
      </c>
      <c r="AC433" s="2">
        <f>AB433*(1+'_Настройки'!$B$8)</f>
        <v/>
      </c>
      <c r="AD433" s="3">
        <f>'_Настройки'!$B$2</f>
        <v/>
      </c>
      <c r="AE433" s="2">
        <f>L433*AD433</f>
        <v/>
      </c>
      <c r="AF433" s="3">
        <f>'_Настройки'!$B$3</f>
        <v/>
      </c>
      <c r="AG433" s="3">
        <f>IFERROR(INDEX('_Комиссия_ВБ'!$B:$B;MATCH(C433;'_Комиссия_ВБ'!$A:$A;0));0,245)</f>
        <v/>
      </c>
      <c r="AH433" s="3">
        <f>AG433+AF433</f>
        <v/>
      </c>
      <c r="AI433" s="2">
        <f>L433*AH433</f>
        <v/>
      </c>
      <c r="AJ433" s="3">
        <f>IFERROR(INDEX('_Комиссия_ВБ'!$C:$C;MATCH(C433;'_Комиссия_ВБ'!$A:$A;0));0,28)</f>
        <v/>
      </c>
      <c r="AK433" s="3">
        <f>AJ433+AF433</f>
        <v/>
      </c>
      <c r="AL433" s="2">
        <f>L433*AK433</f>
        <v/>
      </c>
      <c r="AM433" s="2" t="n"/>
      <c r="AO433" s="3">
        <f>'_Настройки'!$B$5</f>
        <v/>
      </c>
      <c r="AP433" s="2">
        <f>IF(K433&gt;0;K433*AO433;0)</f>
        <v/>
      </c>
      <c r="AQ433" s="2">
        <f>L433-K433-AI433-AE433-IF(AM433&gt;0;AM433;'_Настройки'!$B$9)-AP433-AC433</f>
        <v/>
      </c>
      <c r="AR433" s="3">
        <f>IF(L433&gt;0;AQ433/L433;"")</f>
        <v/>
      </c>
      <c r="AS433" s="3">
        <f>IF(K433&gt;0;AQ433/K433;"")</f>
        <v/>
      </c>
      <c r="AT433" s="2">
        <f>L433-K433-AL433-AE433-IF(AM433&gt;0;AM433;'_Настройки'!$B$9)-AP433-AC433</f>
        <v/>
      </c>
      <c r="AU433" s="3">
        <f>IF(L433&gt;0;AT433/L433;"")</f>
        <v/>
      </c>
      <c r="AV433" s="3">
        <f>IF(K433&gt;0;AT433/K433;"")</f>
        <v/>
      </c>
    </row>
    <row r="434">
      <c r="A434">
        <f>ROW()-1</f>
        <v/>
      </c>
      <c r="K434" s="2">
        <f>IFERROR(INDEX('_Цены_закупки'!$B:$B;MATCH(C434;'_Цены_закупки'!$A:$A;0));"")</f>
        <v/>
      </c>
      <c r="L434" s="2" t="n"/>
      <c r="M434" s="2" t="n"/>
      <c r="N434" s="3">
        <f>IF(AND(M434&gt;0;L434&gt;0);1-L434/M434;"")</f>
        <v/>
      </c>
      <c r="O434" s="2">
        <f>IF(OR(Q434="";K434=0);"";(K434+IF(AM434&gt;0;AM434;'_Настройки'!$B$9)+AP434+AC434+Q434*K434)/(1-AH434-AD434))</f>
        <v/>
      </c>
      <c r="P434" s="2">
        <f>IF(O434="";"";O434-K434-O434*AH434-O434*AD434-IF(AM434&gt;0;AM434;'_Настройки'!$B$9)-AP434-AC434)</f>
        <v/>
      </c>
      <c r="Q434" s="3">
        <f>IF(AND(O434&gt;0;K434&gt;0);P434/K434;"")</f>
        <v/>
      </c>
      <c r="R434" s="2">
        <f>IF(O434="";"";O434-K434-O434*AK434-O434*AD434-IF(AM434&gt;0;AM434;'_Настройки'!$B$9)-AP434-AC434)</f>
        <v/>
      </c>
      <c r="S434" s="3">
        <f>IF(AND(O434&gt;0;K434&gt;0);R434/K434;"")</f>
        <v/>
      </c>
      <c r="T434" s="2" t="n"/>
      <c r="U434" s="3">
        <f>IF(AND(L434&gt;0;T434&gt;0);1-T434/L434;"")</f>
        <v/>
      </c>
      <c r="V434" s="3">
        <f>'_Настройки'!$B$4</f>
        <v/>
      </c>
      <c r="Z434" s="4">
        <f>IF(AND(W434&gt;0;X434&gt;0;Y434&gt;0);W434*X434*Y434/1000;"")</f>
        <v/>
      </c>
      <c r="AB434" s="2">
        <f>('_Настройки'!$B$6+MAX(0;Z434-1)*'_Настройки'!$B$7)*IF(AA434&gt;0;AA434;'_Настройки'!$B$10)</f>
        <v/>
      </c>
      <c r="AC434" s="2">
        <f>AB434*(1+'_Настройки'!$B$8)</f>
        <v/>
      </c>
      <c r="AD434" s="3">
        <f>'_Настройки'!$B$2</f>
        <v/>
      </c>
      <c r="AE434" s="2">
        <f>L434*AD434</f>
        <v/>
      </c>
      <c r="AF434" s="3">
        <f>'_Настройки'!$B$3</f>
        <v/>
      </c>
      <c r="AG434" s="3">
        <f>IFERROR(INDEX('_Комиссия_ВБ'!$B:$B;MATCH(C434;'_Комиссия_ВБ'!$A:$A;0));0,245)</f>
        <v/>
      </c>
      <c r="AH434" s="3">
        <f>AG434+AF434</f>
        <v/>
      </c>
      <c r="AI434" s="2">
        <f>L434*AH434</f>
        <v/>
      </c>
      <c r="AJ434" s="3">
        <f>IFERROR(INDEX('_Комиссия_ВБ'!$C:$C;MATCH(C434;'_Комиссия_ВБ'!$A:$A;0));0,28)</f>
        <v/>
      </c>
      <c r="AK434" s="3">
        <f>AJ434+AF434</f>
        <v/>
      </c>
      <c r="AL434" s="2">
        <f>L434*AK434</f>
        <v/>
      </c>
      <c r="AM434" s="2" t="n"/>
      <c r="AO434" s="3">
        <f>'_Настройки'!$B$5</f>
        <v/>
      </c>
      <c r="AP434" s="2">
        <f>IF(K434&gt;0;K434*AO434;0)</f>
        <v/>
      </c>
      <c r="AQ434" s="2">
        <f>L434-K434-AI434-AE434-IF(AM434&gt;0;AM434;'_Настройки'!$B$9)-AP434-AC434</f>
        <v/>
      </c>
      <c r="AR434" s="3">
        <f>IF(L434&gt;0;AQ434/L434;"")</f>
        <v/>
      </c>
      <c r="AS434" s="3">
        <f>IF(K434&gt;0;AQ434/K434;"")</f>
        <v/>
      </c>
      <c r="AT434" s="2">
        <f>L434-K434-AL434-AE434-IF(AM434&gt;0;AM434;'_Настройки'!$B$9)-AP434-AC434</f>
        <v/>
      </c>
      <c r="AU434" s="3">
        <f>IF(L434&gt;0;AT434/L434;"")</f>
        <v/>
      </c>
      <c r="AV434" s="3">
        <f>IF(K434&gt;0;AT434/K434;"")</f>
        <v/>
      </c>
    </row>
    <row r="435">
      <c r="A435">
        <f>ROW()-1</f>
        <v/>
      </c>
      <c r="K435" s="2">
        <f>IFERROR(INDEX('_Цены_закупки'!$B:$B;MATCH(C435;'_Цены_закупки'!$A:$A;0));"")</f>
        <v/>
      </c>
      <c r="L435" s="2" t="n"/>
      <c r="M435" s="2" t="n"/>
      <c r="N435" s="3">
        <f>IF(AND(M435&gt;0;L435&gt;0);1-L435/M435;"")</f>
        <v/>
      </c>
      <c r="O435" s="2">
        <f>IF(OR(Q435="";K435=0);"";(K435+IF(AM435&gt;0;AM435;'_Настройки'!$B$9)+AP435+AC435+Q435*K435)/(1-AH435-AD435))</f>
        <v/>
      </c>
      <c r="P435" s="2">
        <f>IF(O435="";"";O435-K435-O435*AH435-O435*AD435-IF(AM435&gt;0;AM435;'_Настройки'!$B$9)-AP435-AC435)</f>
        <v/>
      </c>
      <c r="Q435" s="3">
        <f>IF(AND(O435&gt;0;K435&gt;0);P435/K435;"")</f>
        <v/>
      </c>
      <c r="R435" s="2">
        <f>IF(O435="";"";O435-K435-O435*AK435-O435*AD435-IF(AM435&gt;0;AM435;'_Настройки'!$B$9)-AP435-AC435)</f>
        <v/>
      </c>
      <c r="S435" s="3">
        <f>IF(AND(O435&gt;0;K435&gt;0);R435/K435;"")</f>
        <v/>
      </c>
      <c r="T435" s="2" t="n"/>
      <c r="U435" s="3">
        <f>IF(AND(L435&gt;0;T435&gt;0);1-T435/L435;"")</f>
        <v/>
      </c>
      <c r="V435" s="3">
        <f>'_Настройки'!$B$4</f>
        <v/>
      </c>
      <c r="Z435" s="4">
        <f>IF(AND(W435&gt;0;X435&gt;0;Y435&gt;0);W435*X435*Y435/1000;"")</f>
        <v/>
      </c>
      <c r="AB435" s="2">
        <f>('_Настройки'!$B$6+MAX(0;Z435-1)*'_Настройки'!$B$7)*IF(AA435&gt;0;AA435;'_Настройки'!$B$10)</f>
        <v/>
      </c>
      <c r="AC435" s="2">
        <f>AB435*(1+'_Настройки'!$B$8)</f>
        <v/>
      </c>
      <c r="AD435" s="3">
        <f>'_Настройки'!$B$2</f>
        <v/>
      </c>
      <c r="AE435" s="2">
        <f>L435*AD435</f>
        <v/>
      </c>
      <c r="AF435" s="3">
        <f>'_Настройки'!$B$3</f>
        <v/>
      </c>
      <c r="AG435" s="3">
        <f>IFERROR(INDEX('_Комиссия_ВБ'!$B:$B;MATCH(C435;'_Комиссия_ВБ'!$A:$A;0));0,245)</f>
        <v/>
      </c>
      <c r="AH435" s="3">
        <f>AG435+AF435</f>
        <v/>
      </c>
      <c r="AI435" s="2">
        <f>L435*AH435</f>
        <v/>
      </c>
      <c r="AJ435" s="3">
        <f>IFERROR(INDEX('_Комиссия_ВБ'!$C:$C;MATCH(C435;'_Комиссия_ВБ'!$A:$A;0));0,28)</f>
        <v/>
      </c>
      <c r="AK435" s="3">
        <f>AJ435+AF435</f>
        <v/>
      </c>
      <c r="AL435" s="2">
        <f>L435*AK435</f>
        <v/>
      </c>
      <c r="AM435" s="2" t="n"/>
      <c r="AO435" s="3">
        <f>'_Настройки'!$B$5</f>
        <v/>
      </c>
      <c r="AP435" s="2">
        <f>IF(K435&gt;0;K435*AO435;0)</f>
        <v/>
      </c>
      <c r="AQ435" s="2">
        <f>L435-K435-AI435-AE435-IF(AM435&gt;0;AM435;'_Настройки'!$B$9)-AP435-AC435</f>
        <v/>
      </c>
      <c r="AR435" s="3">
        <f>IF(L435&gt;0;AQ435/L435;"")</f>
        <v/>
      </c>
      <c r="AS435" s="3">
        <f>IF(K435&gt;0;AQ435/K435;"")</f>
        <v/>
      </c>
      <c r="AT435" s="2">
        <f>L435-K435-AL435-AE435-IF(AM435&gt;0;AM435;'_Настройки'!$B$9)-AP435-AC435</f>
        <v/>
      </c>
      <c r="AU435" s="3">
        <f>IF(L435&gt;0;AT435/L435;"")</f>
        <v/>
      </c>
      <c r="AV435" s="3">
        <f>IF(K435&gt;0;AT435/K435;"")</f>
        <v/>
      </c>
    </row>
    <row r="436">
      <c r="A436">
        <f>ROW()-1</f>
        <v/>
      </c>
      <c r="K436" s="2">
        <f>IFERROR(INDEX('_Цены_закупки'!$B:$B;MATCH(C436;'_Цены_закупки'!$A:$A;0));"")</f>
        <v/>
      </c>
      <c r="L436" s="2" t="n"/>
      <c r="M436" s="2" t="n"/>
      <c r="N436" s="3">
        <f>IF(AND(M436&gt;0;L436&gt;0);1-L436/M436;"")</f>
        <v/>
      </c>
      <c r="O436" s="2">
        <f>IF(OR(Q436="";K436=0);"";(K436+IF(AM436&gt;0;AM436;'_Настройки'!$B$9)+AP436+AC436+Q436*K436)/(1-AH436-AD436))</f>
        <v/>
      </c>
      <c r="P436" s="2">
        <f>IF(O436="";"";O436-K436-O436*AH436-O436*AD436-IF(AM436&gt;0;AM436;'_Настройки'!$B$9)-AP436-AC436)</f>
        <v/>
      </c>
      <c r="Q436" s="3">
        <f>IF(AND(O436&gt;0;K436&gt;0);P436/K436;"")</f>
        <v/>
      </c>
      <c r="R436" s="2">
        <f>IF(O436="";"";O436-K436-O436*AK436-O436*AD436-IF(AM436&gt;0;AM436;'_Настройки'!$B$9)-AP436-AC436)</f>
        <v/>
      </c>
      <c r="S436" s="3">
        <f>IF(AND(O436&gt;0;K436&gt;0);R436/K436;"")</f>
        <v/>
      </c>
      <c r="T436" s="2" t="n"/>
      <c r="U436" s="3">
        <f>IF(AND(L436&gt;0;T436&gt;0);1-T436/L436;"")</f>
        <v/>
      </c>
      <c r="V436" s="3">
        <f>'_Настройки'!$B$4</f>
        <v/>
      </c>
      <c r="Z436" s="4">
        <f>IF(AND(W436&gt;0;X436&gt;0;Y436&gt;0);W436*X436*Y436/1000;"")</f>
        <v/>
      </c>
      <c r="AB436" s="2">
        <f>('_Настройки'!$B$6+MAX(0;Z436-1)*'_Настройки'!$B$7)*IF(AA436&gt;0;AA436;'_Настройки'!$B$10)</f>
        <v/>
      </c>
      <c r="AC436" s="2">
        <f>AB436*(1+'_Настройки'!$B$8)</f>
        <v/>
      </c>
      <c r="AD436" s="3">
        <f>'_Настройки'!$B$2</f>
        <v/>
      </c>
      <c r="AE436" s="2">
        <f>L436*AD436</f>
        <v/>
      </c>
      <c r="AF436" s="3">
        <f>'_Настройки'!$B$3</f>
        <v/>
      </c>
      <c r="AG436" s="3">
        <f>IFERROR(INDEX('_Комиссия_ВБ'!$B:$B;MATCH(C436;'_Комиссия_ВБ'!$A:$A;0));0,245)</f>
        <v/>
      </c>
      <c r="AH436" s="3">
        <f>AG436+AF436</f>
        <v/>
      </c>
      <c r="AI436" s="2">
        <f>L436*AH436</f>
        <v/>
      </c>
      <c r="AJ436" s="3">
        <f>IFERROR(INDEX('_Комиссия_ВБ'!$C:$C;MATCH(C436;'_Комиссия_ВБ'!$A:$A;0));0,28)</f>
        <v/>
      </c>
      <c r="AK436" s="3">
        <f>AJ436+AF436</f>
        <v/>
      </c>
      <c r="AL436" s="2">
        <f>L436*AK436</f>
        <v/>
      </c>
      <c r="AM436" s="2" t="n"/>
      <c r="AO436" s="3">
        <f>'_Настройки'!$B$5</f>
        <v/>
      </c>
      <c r="AP436" s="2">
        <f>IF(K436&gt;0;K436*AO436;0)</f>
        <v/>
      </c>
      <c r="AQ436" s="2">
        <f>L436-K436-AI436-AE436-IF(AM436&gt;0;AM436;'_Настройки'!$B$9)-AP436-AC436</f>
        <v/>
      </c>
      <c r="AR436" s="3">
        <f>IF(L436&gt;0;AQ436/L436;"")</f>
        <v/>
      </c>
      <c r="AS436" s="3">
        <f>IF(K436&gt;0;AQ436/K436;"")</f>
        <v/>
      </c>
      <c r="AT436" s="2">
        <f>L436-K436-AL436-AE436-IF(AM436&gt;0;AM436;'_Настройки'!$B$9)-AP436-AC436</f>
        <v/>
      </c>
      <c r="AU436" s="3">
        <f>IF(L436&gt;0;AT436/L436;"")</f>
        <v/>
      </c>
      <c r="AV436" s="3">
        <f>IF(K436&gt;0;AT436/K436;"")</f>
        <v/>
      </c>
    </row>
    <row r="437">
      <c r="A437">
        <f>ROW()-1</f>
        <v/>
      </c>
      <c r="K437" s="2">
        <f>IFERROR(INDEX('_Цены_закупки'!$B:$B;MATCH(C437;'_Цены_закупки'!$A:$A;0));"")</f>
        <v/>
      </c>
      <c r="L437" s="2" t="n"/>
      <c r="M437" s="2" t="n"/>
      <c r="N437" s="3">
        <f>IF(AND(M437&gt;0;L437&gt;0);1-L437/M437;"")</f>
        <v/>
      </c>
      <c r="O437" s="2">
        <f>IF(OR(Q437="";K437=0);"";(K437+IF(AM437&gt;0;AM437;'_Настройки'!$B$9)+AP437+AC437+Q437*K437)/(1-AH437-AD437))</f>
        <v/>
      </c>
      <c r="P437" s="2">
        <f>IF(O437="";"";O437-K437-O437*AH437-O437*AD437-IF(AM437&gt;0;AM437;'_Настройки'!$B$9)-AP437-AC437)</f>
        <v/>
      </c>
      <c r="Q437" s="3">
        <f>IF(AND(O437&gt;0;K437&gt;0);P437/K437;"")</f>
        <v/>
      </c>
      <c r="R437" s="2">
        <f>IF(O437="";"";O437-K437-O437*AK437-O437*AD437-IF(AM437&gt;0;AM437;'_Настройки'!$B$9)-AP437-AC437)</f>
        <v/>
      </c>
      <c r="S437" s="3">
        <f>IF(AND(O437&gt;0;K437&gt;0);R437/K437;"")</f>
        <v/>
      </c>
      <c r="T437" s="2" t="n"/>
      <c r="U437" s="3">
        <f>IF(AND(L437&gt;0;T437&gt;0);1-T437/L437;"")</f>
        <v/>
      </c>
      <c r="V437" s="3">
        <f>'_Настройки'!$B$4</f>
        <v/>
      </c>
      <c r="Z437" s="4">
        <f>IF(AND(W437&gt;0;X437&gt;0;Y437&gt;0);W437*X437*Y437/1000;"")</f>
        <v/>
      </c>
      <c r="AB437" s="2">
        <f>('_Настройки'!$B$6+MAX(0;Z437-1)*'_Настройки'!$B$7)*IF(AA437&gt;0;AA437;'_Настройки'!$B$10)</f>
        <v/>
      </c>
      <c r="AC437" s="2">
        <f>AB437*(1+'_Настройки'!$B$8)</f>
        <v/>
      </c>
      <c r="AD437" s="3">
        <f>'_Настройки'!$B$2</f>
        <v/>
      </c>
      <c r="AE437" s="2">
        <f>L437*AD437</f>
        <v/>
      </c>
      <c r="AF437" s="3">
        <f>'_Настройки'!$B$3</f>
        <v/>
      </c>
      <c r="AG437" s="3">
        <f>IFERROR(INDEX('_Комиссия_ВБ'!$B:$B;MATCH(C437;'_Комиссия_ВБ'!$A:$A;0));0,245)</f>
        <v/>
      </c>
      <c r="AH437" s="3">
        <f>AG437+AF437</f>
        <v/>
      </c>
      <c r="AI437" s="2">
        <f>L437*AH437</f>
        <v/>
      </c>
      <c r="AJ437" s="3">
        <f>IFERROR(INDEX('_Комиссия_ВБ'!$C:$C;MATCH(C437;'_Комиссия_ВБ'!$A:$A;0));0,28)</f>
        <v/>
      </c>
      <c r="AK437" s="3">
        <f>AJ437+AF437</f>
        <v/>
      </c>
      <c r="AL437" s="2">
        <f>L437*AK437</f>
        <v/>
      </c>
      <c r="AM437" s="2" t="n"/>
      <c r="AO437" s="3">
        <f>'_Настройки'!$B$5</f>
        <v/>
      </c>
      <c r="AP437" s="2">
        <f>IF(K437&gt;0;K437*AO437;0)</f>
        <v/>
      </c>
      <c r="AQ437" s="2">
        <f>L437-K437-AI437-AE437-IF(AM437&gt;0;AM437;'_Настройки'!$B$9)-AP437-AC437</f>
        <v/>
      </c>
      <c r="AR437" s="3">
        <f>IF(L437&gt;0;AQ437/L437;"")</f>
        <v/>
      </c>
      <c r="AS437" s="3">
        <f>IF(K437&gt;0;AQ437/K437;"")</f>
        <v/>
      </c>
      <c r="AT437" s="2">
        <f>L437-K437-AL437-AE437-IF(AM437&gt;0;AM437;'_Настройки'!$B$9)-AP437-AC437</f>
        <v/>
      </c>
      <c r="AU437" s="3">
        <f>IF(L437&gt;0;AT437/L437;"")</f>
        <v/>
      </c>
      <c r="AV437" s="3">
        <f>IF(K437&gt;0;AT437/K437;"")</f>
        <v/>
      </c>
    </row>
    <row r="438">
      <c r="A438">
        <f>ROW()-1</f>
        <v/>
      </c>
      <c r="K438" s="2">
        <f>IFERROR(INDEX('_Цены_закупки'!$B:$B;MATCH(C438;'_Цены_закупки'!$A:$A;0));"")</f>
        <v/>
      </c>
      <c r="L438" s="2" t="n"/>
      <c r="M438" s="2" t="n"/>
      <c r="N438" s="3">
        <f>IF(AND(M438&gt;0;L438&gt;0);1-L438/M438;"")</f>
        <v/>
      </c>
      <c r="O438" s="2">
        <f>IF(OR(Q438="";K438=0);"";(K438+IF(AM438&gt;0;AM438;'_Настройки'!$B$9)+AP438+AC438+Q438*K438)/(1-AH438-AD438))</f>
        <v/>
      </c>
      <c r="P438" s="2">
        <f>IF(O438="";"";O438-K438-O438*AH438-O438*AD438-IF(AM438&gt;0;AM438;'_Настройки'!$B$9)-AP438-AC438)</f>
        <v/>
      </c>
      <c r="Q438" s="3">
        <f>IF(AND(O438&gt;0;K438&gt;0);P438/K438;"")</f>
        <v/>
      </c>
      <c r="R438" s="2">
        <f>IF(O438="";"";O438-K438-O438*AK438-O438*AD438-IF(AM438&gt;0;AM438;'_Настройки'!$B$9)-AP438-AC438)</f>
        <v/>
      </c>
      <c r="S438" s="3">
        <f>IF(AND(O438&gt;0;K438&gt;0);R438/K438;"")</f>
        <v/>
      </c>
      <c r="T438" s="2" t="n"/>
      <c r="U438" s="3">
        <f>IF(AND(L438&gt;0;T438&gt;0);1-T438/L438;"")</f>
        <v/>
      </c>
      <c r="V438" s="3">
        <f>'_Настройки'!$B$4</f>
        <v/>
      </c>
      <c r="Z438" s="4">
        <f>IF(AND(W438&gt;0;X438&gt;0;Y438&gt;0);W438*X438*Y438/1000;"")</f>
        <v/>
      </c>
      <c r="AB438" s="2">
        <f>('_Настройки'!$B$6+MAX(0;Z438-1)*'_Настройки'!$B$7)*IF(AA438&gt;0;AA438;'_Настройки'!$B$10)</f>
        <v/>
      </c>
      <c r="AC438" s="2">
        <f>AB438*(1+'_Настройки'!$B$8)</f>
        <v/>
      </c>
      <c r="AD438" s="3">
        <f>'_Настройки'!$B$2</f>
        <v/>
      </c>
      <c r="AE438" s="2">
        <f>L438*AD438</f>
        <v/>
      </c>
      <c r="AF438" s="3">
        <f>'_Настройки'!$B$3</f>
        <v/>
      </c>
      <c r="AG438" s="3">
        <f>IFERROR(INDEX('_Комиссия_ВБ'!$B:$B;MATCH(C438;'_Комиссия_ВБ'!$A:$A;0));0,245)</f>
        <v/>
      </c>
      <c r="AH438" s="3">
        <f>AG438+AF438</f>
        <v/>
      </c>
      <c r="AI438" s="2">
        <f>L438*AH438</f>
        <v/>
      </c>
      <c r="AJ438" s="3">
        <f>IFERROR(INDEX('_Комиссия_ВБ'!$C:$C;MATCH(C438;'_Комиссия_ВБ'!$A:$A;0));0,28)</f>
        <v/>
      </c>
      <c r="AK438" s="3">
        <f>AJ438+AF438</f>
        <v/>
      </c>
      <c r="AL438" s="2">
        <f>L438*AK438</f>
        <v/>
      </c>
      <c r="AM438" s="2" t="n"/>
      <c r="AO438" s="3">
        <f>'_Настройки'!$B$5</f>
        <v/>
      </c>
      <c r="AP438" s="2">
        <f>IF(K438&gt;0;K438*AO438;0)</f>
        <v/>
      </c>
      <c r="AQ438" s="2">
        <f>L438-K438-AI438-AE438-IF(AM438&gt;0;AM438;'_Настройки'!$B$9)-AP438-AC438</f>
        <v/>
      </c>
      <c r="AR438" s="3">
        <f>IF(L438&gt;0;AQ438/L438;"")</f>
        <v/>
      </c>
      <c r="AS438" s="3">
        <f>IF(K438&gt;0;AQ438/K438;"")</f>
        <v/>
      </c>
      <c r="AT438" s="2">
        <f>L438-K438-AL438-AE438-IF(AM438&gt;0;AM438;'_Настройки'!$B$9)-AP438-AC438</f>
        <v/>
      </c>
      <c r="AU438" s="3">
        <f>IF(L438&gt;0;AT438/L438;"")</f>
        <v/>
      </c>
      <c r="AV438" s="3">
        <f>IF(K438&gt;0;AT438/K438;"")</f>
        <v/>
      </c>
    </row>
    <row r="439">
      <c r="A439">
        <f>ROW()-1</f>
        <v/>
      </c>
      <c r="K439" s="2">
        <f>IFERROR(INDEX('_Цены_закупки'!$B:$B;MATCH(C439;'_Цены_закупки'!$A:$A;0));"")</f>
        <v/>
      </c>
      <c r="L439" s="2" t="n"/>
      <c r="M439" s="2" t="n"/>
      <c r="N439" s="3">
        <f>IF(AND(M439&gt;0;L439&gt;0);1-L439/M439;"")</f>
        <v/>
      </c>
      <c r="O439" s="2">
        <f>IF(OR(Q439="";K439=0);"";(K439+IF(AM439&gt;0;AM439;'_Настройки'!$B$9)+AP439+AC439+Q439*K439)/(1-AH439-AD439))</f>
        <v/>
      </c>
      <c r="P439" s="2">
        <f>IF(O439="";"";O439-K439-O439*AH439-O439*AD439-IF(AM439&gt;0;AM439;'_Настройки'!$B$9)-AP439-AC439)</f>
        <v/>
      </c>
      <c r="Q439" s="3">
        <f>IF(AND(O439&gt;0;K439&gt;0);P439/K439;"")</f>
        <v/>
      </c>
      <c r="R439" s="2">
        <f>IF(O439="";"";O439-K439-O439*AK439-O439*AD439-IF(AM439&gt;0;AM439;'_Настройки'!$B$9)-AP439-AC439)</f>
        <v/>
      </c>
      <c r="S439" s="3">
        <f>IF(AND(O439&gt;0;K439&gt;0);R439/K439;"")</f>
        <v/>
      </c>
      <c r="T439" s="2" t="n"/>
      <c r="U439" s="3">
        <f>IF(AND(L439&gt;0;T439&gt;0);1-T439/L439;"")</f>
        <v/>
      </c>
      <c r="V439" s="3">
        <f>'_Настройки'!$B$4</f>
        <v/>
      </c>
      <c r="Z439" s="4">
        <f>IF(AND(W439&gt;0;X439&gt;0;Y439&gt;0);W439*X439*Y439/1000;"")</f>
        <v/>
      </c>
      <c r="AB439" s="2">
        <f>('_Настройки'!$B$6+MAX(0;Z439-1)*'_Настройки'!$B$7)*IF(AA439&gt;0;AA439;'_Настройки'!$B$10)</f>
        <v/>
      </c>
      <c r="AC439" s="2">
        <f>AB439*(1+'_Настройки'!$B$8)</f>
        <v/>
      </c>
      <c r="AD439" s="3">
        <f>'_Настройки'!$B$2</f>
        <v/>
      </c>
      <c r="AE439" s="2">
        <f>L439*AD439</f>
        <v/>
      </c>
      <c r="AF439" s="3">
        <f>'_Настройки'!$B$3</f>
        <v/>
      </c>
      <c r="AG439" s="3">
        <f>IFERROR(INDEX('_Комиссия_ВБ'!$B:$B;MATCH(C439;'_Комиссия_ВБ'!$A:$A;0));0,245)</f>
        <v/>
      </c>
      <c r="AH439" s="3">
        <f>AG439+AF439</f>
        <v/>
      </c>
      <c r="AI439" s="2">
        <f>L439*AH439</f>
        <v/>
      </c>
      <c r="AJ439" s="3">
        <f>IFERROR(INDEX('_Комиссия_ВБ'!$C:$C;MATCH(C439;'_Комиссия_ВБ'!$A:$A;0));0,28)</f>
        <v/>
      </c>
      <c r="AK439" s="3">
        <f>AJ439+AF439</f>
        <v/>
      </c>
      <c r="AL439" s="2">
        <f>L439*AK439</f>
        <v/>
      </c>
      <c r="AM439" s="2" t="n"/>
      <c r="AO439" s="3">
        <f>'_Настройки'!$B$5</f>
        <v/>
      </c>
      <c r="AP439" s="2">
        <f>IF(K439&gt;0;K439*AO439;0)</f>
        <v/>
      </c>
      <c r="AQ439" s="2">
        <f>L439-K439-AI439-AE439-IF(AM439&gt;0;AM439;'_Настройки'!$B$9)-AP439-AC439</f>
        <v/>
      </c>
      <c r="AR439" s="3">
        <f>IF(L439&gt;0;AQ439/L439;"")</f>
        <v/>
      </c>
      <c r="AS439" s="3">
        <f>IF(K439&gt;0;AQ439/K439;"")</f>
        <v/>
      </c>
      <c r="AT439" s="2">
        <f>L439-K439-AL439-AE439-IF(AM439&gt;0;AM439;'_Настройки'!$B$9)-AP439-AC439</f>
        <v/>
      </c>
      <c r="AU439" s="3">
        <f>IF(L439&gt;0;AT439/L439;"")</f>
        <v/>
      </c>
      <c r="AV439" s="3">
        <f>IF(K439&gt;0;AT439/K439;"")</f>
        <v/>
      </c>
    </row>
    <row r="440">
      <c r="A440">
        <f>ROW()-1</f>
        <v/>
      </c>
      <c r="K440" s="2">
        <f>IFERROR(INDEX('_Цены_закупки'!$B:$B;MATCH(C440;'_Цены_закупки'!$A:$A;0));"")</f>
        <v/>
      </c>
      <c r="L440" s="2" t="n"/>
      <c r="M440" s="2" t="n"/>
      <c r="N440" s="3">
        <f>IF(AND(M440&gt;0;L440&gt;0);1-L440/M440;"")</f>
        <v/>
      </c>
      <c r="O440" s="2">
        <f>IF(OR(Q440="";K440=0);"";(K440+IF(AM440&gt;0;AM440;'_Настройки'!$B$9)+AP440+AC440+Q440*K440)/(1-AH440-AD440))</f>
        <v/>
      </c>
      <c r="P440" s="2">
        <f>IF(O440="";"";O440-K440-O440*AH440-O440*AD440-IF(AM440&gt;0;AM440;'_Настройки'!$B$9)-AP440-AC440)</f>
        <v/>
      </c>
      <c r="Q440" s="3">
        <f>IF(AND(O440&gt;0;K440&gt;0);P440/K440;"")</f>
        <v/>
      </c>
      <c r="R440" s="2">
        <f>IF(O440="";"";O440-K440-O440*AK440-O440*AD440-IF(AM440&gt;0;AM440;'_Настройки'!$B$9)-AP440-AC440)</f>
        <v/>
      </c>
      <c r="S440" s="3">
        <f>IF(AND(O440&gt;0;K440&gt;0);R440/K440;"")</f>
        <v/>
      </c>
      <c r="T440" s="2" t="n"/>
      <c r="U440" s="3">
        <f>IF(AND(L440&gt;0;T440&gt;0);1-T440/L440;"")</f>
        <v/>
      </c>
      <c r="V440" s="3">
        <f>'_Настройки'!$B$4</f>
        <v/>
      </c>
      <c r="Z440" s="4">
        <f>IF(AND(W440&gt;0;X440&gt;0;Y440&gt;0);W440*X440*Y440/1000;"")</f>
        <v/>
      </c>
      <c r="AB440" s="2">
        <f>('_Настройки'!$B$6+MAX(0;Z440-1)*'_Настройки'!$B$7)*IF(AA440&gt;0;AA440;'_Настройки'!$B$10)</f>
        <v/>
      </c>
      <c r="AC440" s="2">
        <f>AB440*(1+'_Настройки'!$B$8)</f>
        <v/>
      </c>
      <c r="AD440" s="3">
        <f>'_Настройки'!$B$2</f>
        <v/>
      </c>
      <c r="AE440" s="2">
        <f>L440*AD440</f>
        <v/>
      </c>
      <c r="AF440" s="3">
        <f>'_Настройки'!$B$3</f>
        <v/>
      </c>
      <c r="AG440" s="3">
        <f>IFERROR(INDEX('_Комиссия_ВБ'!$B:$B;MATCH(C440;'_Комиссия_ВБ'!$A:$A;0));0,245)</f>
        <v/>
      </c>
      <c r="AH440" s="3">
        <f>AG440+AF440</f>
        <v/>
      </c>
      <c r="AI440" s="2">
        <f>L440*AH440</f>
        <v/>
      </c>
      <c r="AJ440" s="3">
        <f>IFERROR(INDEX('_Комиссия_ВБ'!$C:$C;MATCH(C440;'_Комиссия_ВБ'!$A:$A;0));0,28)</f>
        <v/>
      </c>
      <c r="AK440" s="3">
        <f>AJ440+AF440</f>
        <v/>
      </c>
      <c r="AL440" s="2">
        <f>L440*AK440</f>
        <v/>
      </c>
      <c r="AM440" s="2" t="n"/>
      <c r="AO440" s="3">
        <f>'_Настройки'!$B$5</f>
        <v/>
      </c>
      <c r="AP440" s="2">
        <f>IF(K440&gt;0;K440*AO440;0)</f>
        <v/>
      </c>
      <c r="AQ440" s="2">
        <f>L440-K440-AI440-AE440-IF(AM440&gt;0;AM440;'_Настройки'!$B$9)-AP440-AC440</f>
        <v/>
      </c>
      <c r="AR440" s="3">
        <f>IF(L440&gt;0;AQ440/L440;"")</f>
        <v/>
      </c>
      <c r="AS440" s="3">
        <f>IF(K440&gt;0;AQ440/K440;"")</f>
        <v/>
      </c>
      <c r="AT440" s="2">
        <f>L440-K440-AL440-AE440-IF(AM440&gt;0;AM440;'_Настройки'!$B$9)-AP440-AC440</f>
        <v/>
      </c>
      <c r="AU440" s="3">
        <f>IF(L440&gt;0;AT440/L440;"")</f>
        <v/>
      </c>
      <c r="AV440" s="3">
        <f>IF(K440&gt;0;AT440/K440;"")</f>
        <v/>
      </c>
    </row>
    <row r="441">
      <c r="A441">
        <f>ROW()-1</f>
        <v/>
      </c>
      <c r="K441" s="2">
        <f>IFERROR(INDEX('_Цены_закупки'!$B:$B;MATCH(C441;'_Цены_закупки'!$A:$A;0));"")</f>
        <v/>
      </c>
      <c r="L441" s="2" t="n"/>
      <c r="M441" s="2" t="n"/>
      <c r="N441" s="3">
        <f>IF(AND(M441&gt;0;L441&gt;0);1-L441/M441;"")</f>
        <v/>
      </c>
      <c r="O441" s="2">
        <f>IF(OR(Q441="";K441=0);"";(K441+IF(AM441&gt;0;AM441;'_Настройки'!$B$9)+AP441+AC441+Q441*K441)/(1-AH441-AD441))</f>
        <v/>
      </c>
      <c r="P441" s="2">
        <f>IF(O441="";"";O441-K441-O441*AH441-O441*AD441-IF(AM441&gt;0;AM441;'_Настройки'!$B$9)-AP441-AC441)</f>
        <v/>
      </c>
      <c r="Q441" s="3">
        <f>IF(AND(O441&gt;0;K441&gt;0);P441/K441;"")</f>
        <v/>
      </c>
      <c r="R441" s="2">
        <f>IF(O441="";"";O441-K441-O441*AK441-O441*AD441-IF(AM441&gt;0;AM441;'_Настройки'!$B$9)-AP441-AC441)</f>
        <v/>
      </c>
      <c r="S441" s="3">
        <f>IF(AND(O441&gt;0;K441&gt;0);R441/K441;"")</f>
        <v/>
      </c>
      <c r="T441" s="2" t="n"/>
      <c r="U441" s="3">
        <f>IF(AND(L441&gt;0;T441&gt;0);1-T441/L441;"")</f>
        <v/>
      </c>
      <c r="V441" s="3">
        <f>'_Настройки'!$B$4</f>
        <v/>
      </c>
      <c r="Z441" s="4">
        <f>IF(AND(W441&gt;0;X441&gt;0;Y441&gt;0);W441*X441*Y441/1000;"")</f>
        <v/>
      </c>
      <c r="AB441" s="2">
        <f>('_Настройки'!$B$6+MAX(0;Z441-1)*'_Настройки'!$B$7)*IF(AA441&gt;0;AA441;'_Настройки'!$B$10)</f>
        <v/>
      </c>
      <c r="AC441" s="2">
        <f>AB441*(1+'_Настройки'!$B$8)</f>
        <v/>
      </c>
      <c r="AD441" s="3">
        <f>'_Настройки'!$B$2</f>
        <v/>
      </c>
      <c r="AE441" s="2">
        <f>L441*AD441</f>
        <v/>
      </c>
      <c r="AF441" s="3">
        <f>'_Настройки'!$B$3</f>
        <v/>
      </c>
      <c r="AG441" s="3">
        <f>IFERROR(INDEX('_Комиссия_ВБ'!$B:$B;MATCH(C441;'_Комиссия_ВБ'!$A:$A;0));0,245)</f>
        <v/>
      </c>
      <c r="AH441" s="3">
        <f>AG441+AF441</f>
        <v/>
      </c>
      <c r="AI441" s="2">
        <f>L441*AH441</f>
        <v/>
      </c>
      <c r="AJ441" s="3">
        <f>IFERROR(INDEX('_Комиссия_ВБ'!$C:$C;MATCH(C441;'_Комиссия_ВБ'!$A:$A;0));0,28)</f>
        <v/>
      </c>
      <c r="AK441" s="3">
        <f>AJ441+AF441</f>
        <v/>
      </c>
      <c r="AL441" s="2">
        <f>L441*AK441</f>
        <v/>
      </c>
      <c r="AM441" s="2" t="n"/>
      <c r="AO441" s="3">
        <f>'_Настройки'!$B$5</f>
        <v/>
      </c>
      <c r="AP441" s="2">
        <f>IF(K441&gt;0;K441*AO441;0)</f>
        <v/>
      </c>
      <c r="AQ441" s="2">
        <f>L441-K441-AI441-AE441-IF(AM441&gt;0;AM441;'_Настройки'!$B$9)-AP441-AC441</f>
        <v/>
      </c>
      <c r="AR441" s="3">
        <f>IF(L441&gt;0;AQ441/L441;"")</f>
        <v/>
      </c>
      <c r="AS441" s="3">
        <f>IF(K441&gt;0;AQ441/K441;"")</f>
        <v/>
      </c>
      <c r="AT441" s="2">
        <f>L441-K441-AL441-AE441-IF(AM441&gt;0;AM441;'_Настройки'!$B$9)-AP441-AC441</f>
        <v/>
      </c>
      <c r="AU441" s="3">
        <f>IF(L441&gt;0;AT441/L441;"")</f>
        <v/>
      </c>
      <c r="AV441" s="3">
        <f>IF(K441&gt;0;AT441/K441;"")</f>
        <v/>
      </c>
    </row>
    <row r="442">
      <c r="A442">
        <f>ROW()-1</f>
        <v/>
      </c>
      <c r="K442" s="2">
        <f>IFERROR(INDEX('_Цены_закупки'!$B:$B;MATCH(C442;'_Цены_закупки'!$A:$A;0));"")</f>
        <v/>
      </c>
      <c r="L442" s="2" t="n"/>
      <c r="M442" s="2" t="n"/>
      <c r="N442" s="3">
        <f>IF(AND(M442&gt;0;L442&gt;0);1-L442/M442;"")</f>
        <v/>
      </c>
      <c r="O442" s="2">
        <f>IF(OR(Q442="";K442=0);"";(K442+IF(AM442&gt;0;AM442;'_Настройки'!$B$9)+AP442+AC442+Q442*K442)/(1-AH442-AD442))</f>
        <v/>
      </c>
      <c r="P442" s="2">
        <f>IF(O442="";"";O442-K442-O442*AH442-O442*AD442-IF(AM442&gt;0;AM442;'_Настройки'!$B$9)-AP442-AC442)</f>
        <v/>
      </c>
      <c r="Q442" s="3">
        <f>IF(AND(O442&gt;0;K442&gt;0);P442/K442;"")</f>
        <v/>
      </c>
      <c r="R442" s="2">
        <f>IF(O442="";"";O442-K442-O442*AK442-O442*AD442-IF(AM442&gt;0;AM442;'_Настройки'!$B$9)-AP442-AC442)</f>
        <v/>
      </c>
      <c r="S442" s="3">
        <f>IF(AND(O442&gt;0;K442&gt;0);R442/K442;"")</f>
        <v/>
      </c>
      <c r="T442" s="2" t="n"/>
      <c r="U442" s="3">
        <f>IF(AND(L442&gt;0;T442&gt;0);1-T442/L442;"")</f>
        <v/>
      </c>
      <c r="V442" s="3">
        <f>'_Настройки'!$B$4</f>
        <v/>
      </c>
      <c r="Z442" s="4">
        <f>IF(AND(W442&gt;0;X442&gt;0;Y442&gt;0);W442*X442*Y442/1000;"")</f>
        <v/>
      </c>
      <c r="AB442" s="2">
        <f>('_Настройки'!$B$6+MAX(0;Z442-1)*'_Настройки'!$B$7)*IF(AA442&gt;0;AA442;'_Настройки'!$B$10)</f>
        <v/>
      </c>
      <c r="AC442" s="2">
        <f>AB442*(1+'_Настройки'!$B$8)</f>
        <v/>
      </c>
      <c r="AD442" s="3">
        <f>'_Настройки'!$B$2</f>
        <v/>
      </c>
      <c r="AE442" s="2">
        <f>L442*AD442</f>
        <v/>
      </c>
      <c r="AF442" s="3">
        <f>'_Настройки'!$B$3</f>
        <v/>
      </c>
      <c r="AG442" s="3">
        <f>IFERROR(INDEX('_Комиссия_ВБ'!$B:$B;MATCH(C442;'_Комиссия_ВБ'!$A:$A;0));0,245)</f>
        <v/>
      </c>
      <c r="AH442" s="3">
        <f>AG442+AF442</f>
        <v/>
      </c>
      <c r="AI442" s="2">
        <f>L442*AH442</f>
        <v/>
      </c>
      <c r="AJ442" s="3">
        <f>IFERROR(INDEX('_Комиссия_ВБ'!$C:$C;MATCH(C442;'_Комиссия_ВБ'!$A:$A;0));0,28)</f>
        <v/>
      </c>
      <c r="AK442" s="3">
        <f>AJ442+AF442</f>
        <v/>
      </c>
      <c r="AL442" s="2">
        <f>L442*AK442</f>
        <v/>
      </c>
      <c r="AM442" s="2" t="n"/>
      <c r="AO442" s="3">
        <f>'_Настройки'!$B$5</f>
        <v/>
      </c>
      <c r="AP442" s="2">
        <f>IF(K442&gt;0;K442*AO442;0)</f>
        <v/>
      </c>
      <c r="AQ442" s="2">
        <f>L442-K442-AI442-AE442-IF(AM442&gt;0;AM442;'_Настройки'!$B$9)-AP442-AC442</f>
        <v/>
      </c>
      <c r="AR442" s="3">
        <f>IF(L442&gt;0;AQ442/L442;"")</f>
        <v/>
      </c>
      <c r="AS442" s="3">
        <f>IF(K442&gt;0;AQ442/K442;"")</f>
        <v/>
      </c>
      <c r="AT442" s="2">
        <f>L442-K442-AL442-AE442-IF(AM442&gt;0;AM442;'_Настройки'!$B$9)-AP442-AC442</f>
        <v/>
      </c>
      <c r="AU442" s="3">
        <f>IF(L442&gt;0;AT442/L442;"")</f>
        <v/>
      </c>
      <c r="AV442" s="3">
        <f>IF(K442&gt;0;AT442/K442;"")</f>
        <v/>
      </c>
    </row>
    <row r="443">
      <c r="A443">
        <f>ROW()-1</f>
        <v/>
      </c>
      <c r="K443" s="2">
        <f>IFERROR(INDEX('_Цены_закупки'!$B:$B;MATCH(C443;'_Цены_закупки'!$A:$A;0));"")</f>
        <v/>
      </c>
      <c r="L443" s="2" t="n"/>
      <c r="M443" s="2" t="n"/>
      <c r="N443" s="3">
        <f>IF(AND(M443&gt;0;L443&gt;0);1-L443/M443;"")</f>
        <v/>
      </c>
      <c r="O443" s="2">
        <f>IF(OR(Q443="";K443=0);"";(K443+IF(AM443&gt;0;AM443;'_Настройки'!$B$9)+AP443+AC443+Q443*K443)/(1-AH443-AD443))</f>
        <v/>
      </c>
      <c r="P443" s="2">
        <f>IF(O443="";"";O443-K443-O443*AH443-O443*AD443-IF(AM443&gt;0;AM443;'_Настройки'!$B$9)-AP443-AC443)</f>
        <v/>
      </c>
      <c r="Q443" s="3">
        <f>IF(AND(O443&gt;0;K443&gt;0);P443/K443;"")</f>
        <v/>
      </c>
      <c r="R443" s="2">
        <f>IF(O443="";"";O443-K443-O443*AK443-O443*AD443-IF(AM443&gt;0;AM443;'_Настройки'!$B$9)-AP443-AC443)</f>
        <v/>
      </c>
      <c r="S443" s="3">
        <f>IF(AND(O443&gt;0;K443&gt;0);R443/K443;"")</f>
        <v/>
      </c>
      <c r="T443" s="2" t="n"/>
      <c r="U443" s="3">
        <f>IF(AND(L443&gt;0;T443&gt;0);1-T443/L443;"")</f>
        <v/>
      </c>
      <c r="V443" s="3">
        <f>'_Настройки'!$B$4</f>
        <v/>
      </c>
      <c r="Z443" s="4">
        <f>IF(AND(W443&gt;0;X443&gt;0;Y443&gt;0);W443*X443*Y443/1000;"")</f>
        <v/>
      </c>
      <c r="AB443" s="2">
        <f>('_Настройки'!$B$6+MAX(0;Z443-1)*'_Настройки'!$B$7)*IF(AA443&gt;0;AA443;'_Настройки'!$B$10)</f>
        <v/>
      </c>
      <c r="AC443" s="2">
        <f>AB443*(1+'_Настройки'!$B$8)</f>
        <v/>
      </c>
      <c r="AD443" s="3">
        <f>'_Настройки'!$B$2</f>
        <v/>
      </c>
      <c r="AE443" s="2">
        <f>L443*AD443</f>
        <v/>
      </c>
      <c r="AF443" s="3">
        <f>'_Настройки'!$B$3</f>
        <v/>
      </c>
      <c r="AG443" s="3">
        <f>IFERROR(INDEX('_Комиссия_ВБ'!$B:$B;MATCH(C443;'_Комиссия_ВБ'!$A:$A;0));0,245)</f>
        <v/>
      </c>
      <c r="AH443" s="3">
        <f>AG443+AF443</f>
        <v/>
      </c>
      <c r="AI443" s="2">
        <f>L443*AH443</f>
        <v/>
      </c>
      <c r="AJ443" s="3">
        <f>IFERROR(INDEX('_Комиссия_ВБ'!$C:$C;MATCH(C443;'_Комиссия_ВБ'!$A:$A;0));0,28)</f>
        <v/>
      </c>
      <c r="AK443" s="3">
        <f>AJ443+AF443</f>
        <v/>
      </c>
      <c r="AL443" s="2">
        <f>L443*AK443</f>
        <v/>
      </c>
      <c r="AM443" s="2" t="n"/>
      <c r="AO443" s="3">
        <f>'_Настройки'!$B$5</f>
        <v/>
      </c>
      <c r="AP443" s="2">
        <f>IF(K443&gt;0;K443*AO443;0)</f>
        <v/>
      </c>
      <c r="AQ443" s="2">
        <f>L443-K443-AI443-AE443-IF(AM443&gt;0;AM443;'_Настройки'!$B$9)-AP443-AC443</f>
        <v/>
      </c>
      <c r="AR443" s="3">
        <f>IF(L443&gt;0;AQ443/L443;"")</f>
        <v/>
      </c>
      <c r="AS443" s="3">
        <f>IF(K443&gt;0;AQ443/K443;"")</f>
        <v/>
      </c>
      <c r="AT443" s="2">
        <f>L443-K443-AL443-AE443-IF(AM443&gt;0;AM443;'_Настройки'!$B$9)-AP443-AC443</f>
        <v/>
      </c>
      <c r="AU443" s="3">
        <f>IF(L443&gt;0;AT443/L443;"")</f>
        <v/>
      </c>
      <c r="AV443" s="3">
        <f>IF(K443&gt;0;AT443/K443;"")</f>
        <v/>
      </c>
    </row>
    <row r="444">
      <c r="A444">
        <f>ROW()-1</f>
        <v/>
      </c>
      <c r="K444" s="2">
        <f>IFERROR(INDEX('_Цены_закупки'!$B:$B;MATCH(C444;'_Цены_закупки'!$A:$A;0));"")</f>
        <v/>
      </c>
      <c r="L444" s="2" t="n"/>
      <c r="M444" s="2" t="n"/>
      <c r="N444" s="3">
        <f>IF(AND(M444&gt;0;L444&gt;0);1-L444/M444;"")</f>
        <v/>
      </c>
      <c r="O444" s="2">
        <f>IF(OR(Q444="";K444=0);"";(K444+IF(AM444&gt;0;AM444;'_Настройки'!$B$9)+AP444+AC444+Q444*K444)/(1-AH444-AD444))</f>
        <v/>
      </c>
      <c r="P444" s="2">
        <f>IF(O444="";"";O444-K444-O444*AH444-O444*AD444-IF(AM444&gt;0;AM444;'_Настройки'!$B$9)-AP444-AC444)</f>
        <v/>
      </c>
      <c r="Q444" s="3">
        <f>IF(AND(O444&gt;0;K444&gt;0);P444/K444;"")</f>
        <v/>
      </c>
      <c r="R444" s="2">
        <f>IF(O444="";"";O444-K444-O444*AK444-O444*AD444-IF(AM444&gt;0;AM444;'_Настройки'!$B$9)-AP444-AC444)</f>
        <v/>
      </c>
      <c r="S444" s="3">
        <f>IF(AND(O444&gt;0;K444&gt;0);R444/K444;"")</f>
        <v/>
      </c>
      <c r="T444" s="2" t="n"/>
      <c r="U444" s="3">
        <f>IF(AND(L444&gt;0;T444&gt;0);1-T444/L444;"")</f>
        <v/>
      </c>
      <c r="V444" s="3">
        <f>'_Настройки'!$B$4</f>
        <v/>
      </c>
      <c r="Z444" s="4">
        <f>IF(AND(W444&gt;0;X444&gt;0;Y444&gt;0);W444*X444*Y444/1000;"")</f>
        <v/>
      </c>
      <c r="AB444" s="2">
        <f>('_Настройки'!$B$6+MAX(0;Z444-1)*'_Настройки'!$B$7)*IF(AA444&gt;0;AA444;'_Настройки'!$B$10)</f>
        <v/>
      </c>
      <c r="AC444" s="2">
        <f>AB444*(1+'_Настройки'!$B$8)</f>
        <v/>
      </c>
      <c r="AD444" s="3">
        <f>'_Настройки'!$B$2</f>
        <v/>
      </c>
      <c r="AE444" s="2">
        <f>L444*AD444</f>
        <v/>
      </c>
      <c r="AF444" s="3">
        <f>'_Настройки'!$B$3</f>
        <v/>
      </c>
      <c r="AG444" s="3">
        <f>IFERROR(INDEX('_Комиссия_ВБ'!$B:$B;MATCH(C444;'_Комиссия_ВБ'!$A:$A;0));0,245)</f>
        <v/>
      </c>
      <c r="AH444" s="3">
        <f>AG444+AF444</f>
        <v/>
      </c>
      <c r="AI444" s="2">
        <f>L444*AH444</f>
        <v/>
      </c>
      <c r="AJ444" s="3">
        <f>IFERROR(INDEX('_Комиссия_ВБ'!$C:$C;MATCH(C444;'_Комиссия_ВБ'!$A:$A;0));0,28)</f>
        <v/>
      </c>
      <c r="AK444" s="3">
        <f>AJ444+AF444</f>
        <v/>
      </c>
      <c r="AL444" s="2">
        <f>L444*AK444</f>
        <v/>
      </c>
      <c r="AM444" s="2" t="n"/>
      <c r="AO444" s="3">
        <f>'_Настройки'!$B$5</f>
        <v/>
      </c>
      <c r="AP444" s="2">
        <f>IF(K444&gt;0;K444*AO444;0)</f>
        <v/>
      </c>
      <c r="AQ444" s="2">
        <f>L444-K444-AI444-AE444-IF(AM444&gt;0;AM444;'_Настройки'!$B$9)-AP444-AC444</f>
        <v/>
      </c>
      <c r="AR444" s="3">
        <f>IF(L444&gt;0;AQ444/L444;"")</f>
        <v/>
      </c>
      <c r="AS444" s="3">
        <f>IF(K444&gt;0;AQ444/K444;"")</f>
        <v/>
      </c>
      <c r="AT444" s="2">
        <f>L444-K444-AL444-AE444-IF(AM444&gt;0;AM444;'_Настройки'!$B$9)-AP444-AC444</f>
        <v/>
      </c>
      <c r="AU444" s="3">
        <f>IF(L444&gt;0;AT444/L444;"")</f>
        <v/>
      </c>
      <c r="AV444" s="3">
        <f>IF(K444&gt;0;AT444/K444;"")</f>
        <v/>
      </c>
    </row>
    <row r="445">
      <c r="A445">
        <f>ROW()-1</f>
        <v/>
      </c>
      <c r="K445" s="2">
        <f>IFERROR(INDEX('_Цены_закупки'!$B:$B;MATCH(C445;'_Цены_закупки'!$A:$A;0));"")</f>
        <v/>
      </c>
      <c r="L445" s="2" t="n"/>
      <c r="M445" s="2" t="n"/>
      <c r="N445" s="3">
        <f>IF(AND(M445&gt;0;L445&gt;0);1-L445/M445;"")</f>
        <v/>
      </c>
      <c r="O445" s="2">
        <f>IF(OR(Q445="";K445=0);"";(K445+IF(AM445&gt;0;AM445;'_Настройки'!$B$9)+AP445+AC445+Q445*K445)/(1-AH445-AD445))</f>
        <v/>
      </c>
      <c r="P445" s="2">
        <f>IF(O445="";"";O445-K445-O445*AH445-O445*AD445-IF(AM445&gt;0;AM445;'_Настройки'!$B$9)-AP445-AC445)</f>
        <v/>
      </c>
      <c r="Q445" s="3">
        <f>IF(AND(O445&gt;0;K445&gt;0);P445/K445;"")</f>
        <v/>
      </c>
      <c r="R445" s="2">
        <f>IF(O445="";"";O445-K445-O445*AK445-O445*AD445-IF(AM445&gt;0;AM445;'_Настройки'!$B$9)-AP445-AC445)</f>
        <v/>
      </c>
      <c r="S445" s="3">
        <f>IF(AND(O445&gt;0;K445&gt;0);R445/K445;"")</f>
        <v/>
      </c>
      <c r="T445" s="2" t="n"/>
      <c r="U445" s="3">
        <f>IF(AND(L445&gt;0;T445&gt;0);1-T445/L445;"")</f>
        <v/>
      </c>
      <c r="V445" s="3">
        <f>'_Настройки'!$B$4</f>
        <v/>
      </c>
      <c r="Z445" s="4">
        <f>IF(AND(W445&gt;0;X445&gt;0;Y445&gt;0);W445*X445*Y445/1000;"")</f>
        <v/>
      </c>
      <c r="AB445" s="2">
        <f>('_Настройки'!$B$6+MAX(0;Z445-1)*'_Настройки'!$B$7)*IF(AA445&gt;0;AA445;'_Настройки'!$B$10)</f>
        <v/>
      </c>
      <c r="AC445" s="2">
        <f>AB445*(1+'_Настройки'!$B$8)</f>
        <v/>
      </c>
      <c r="AD445" s="3">
        <f>'_Настройки'!$B$2</f>
        <v/>
      </c>
      <c r="AE445" s="2">
        <f>L445*AD445</f>
        <v/>
      </c>
      <c r="AF445" s="3">
        <f>'_Настройки'!$B$3</f>
        <v/>
      </c>
      <c r="AG445" s="3">
        <f>IFERROR(INDEX('_Комиссия_ВБ'!$B:$B;MATCH(C445;'_Комиссия_ВБ'!$A:$A;0));0,245)</f>
        <v/>
      </c>
      <c r="AH445" s="3">
        <f>AG445+AF445</f>
        <v/>
      </c>
      <c r="AI445" s="2">
        <f>L445*AH445</f>
        <v/>
      </c>
      <c r="AJ445" s="3">
        <f>IFERROR(INDEX('_Комиссия_ВБ'!$C:$C;MATCH(C445;'_Комиссия_ВБ'!$A:$A;0));0,28)</f>
        <v/>
      </c>
      <c r="AK445" s="3">
        <f>AJ445+AF445</f>
        <v/>
      </c>
      <c r="AL445" s="2">
        <f>L445*AK445</f>
        <v/>
      </c>
      <c r="AM445" s="2" t="n"/>
      <c r="AO445" s="3">
        <f>'_Настройки'!$B$5</f>
        <v/>
      </c>
      <c r="AP445" s="2">
        <f>IF(K445&gt;0;K445*AO445;0)</f>
        <v/>
      </c>
      <c r="AQ445" s="2">
        <f>L445-K445-AI445-AE445-IF(AM445&gt;0;AM445;'_Настройки'!$B$9)-AP445-AC445</f>
        <v/>
      </c>
      <c r="AR445" s="3">
        <f>IF(L445&gt;0;AQ445/L445;"")</f>
        <v/>
      </c>
      <c r="AS445" s="3">
        <f>IF(K445&gt;0;AQ445/K445;"")</f>
        <v/>
      </c>
      <c r="AT445" s="2">
        <f>L445-K445-AL445-AE445-IF(AM445&gt;0;AM445;'_Настройки'!$B$9)-AP445-AC445</f>
        <v/>
      </c>
      <c r="AU445" s="3">
        <f>IF(L445&gt;0;AT445/L445;"")</f>
        <v/>
      </c>
      <c r="AV445" s="3">
        <f>IF(K445&gt;0;AT445/K445;"")</f>
        <v/>
      </c>
    </row>
    <row r="446">
      <c r="A446">
        <f>ROW()-1</f>
        <v/>
      </c>
      <c r="K446" s="2">
        <f>IFERROR(INDEX('_Цены_закупки'!$B:$B;MATCH(C446;'_Цены_закупки'!$A:$A;0));"")</f>
        <v/>
      </c>
      <c r="L446" s="2" t="n"/>
      <c r="M446" s="2" t="n"/>
      <c r="N446" s="3">
        <f>IF(AND(M446&gt;0;L446&gt;0);1-L446/M446;"")</f>
        <v/>
      </c>
      <c r="O446" s="2">
        <f>IF(OR(Q446="";K446=0);"";(K446+IF(AM446&gt;0;AM446;'_Настройки'!$B$9)+AP446+AC446+Q446*K446)/(1-AH446-AD446))</f>
        <v/>
      </c>
      <c r="P446" s="2">
        <f>IF(O446="";"";O446-K446-O446*AH446-O446*AD446-IF(AM446&gt;0;AM446;'_Настройки'!$B$9)-AP446-AC446)</f>
        <v/>
      </c>
      <c r="Q446" s="3">
        <f>IF(AND(O446&gt;0;K446&gt;0);P446/K446;"")</f>
        <v/>
      </c>
      <c r="R446" s="2">
        <f>IF(O446="";"";O446-K446-O446*AK446-O446*AD446-IF(AM446&gt;0;AM446;'_Настройки'!$B$9)-AP446-AC446)</f>
        <v/>
      </c>
      <c r="S446" s="3">
        <f>IF(AND(O446&gt;0;K446&gt;0);R446/K446;"")</f>
        <v/>
      </c>
      <c r="T446" s="2" t="n"/>
      <c r="U446" s="3">
        <f>IF(AND(L446&gt;0;T446&gt;0);1-T446/L446;"")</f>
        <v/>
      </c>
      <c r="V446" s="3">
        <f>'_Настройки'!$B$4</f>
        <v/>
      </c>
      <c r="Z446" s="4">
        <f>IF(AND(W446&gt;0;X446&gt;0;Y446&gt;0);W446*X446*Y446/1000;"")</f>
        <v/>
      </c>
      <c r="AB446" s="2">
        <f>('_Настройки'!$B$6+MAX(0;Z446-1)*'_Настройки'!$B$7)*IF(AA446&gt;0;AA446;'_Настройки'!$B$10)</f>
        <v/>
      </c>
      <c r="AC446" s="2">
        <f>AB446*(1+'_Настройки'!$B$8)</f>
        <v/>
      </c>
      <c r="AD446" s="3">
        <f>'_Настройки'!$B$2</f>
        <v/>
      </c>
      <c r="AE446" s="2">
        <f>L446*AD446</f>
        <v/>
      </c>
      <c r="AF446" s="3">
        <f>'_Настройки'!$B$3</f>
        <v/>
      </c>
      <c r="AG446" s="3">
        <f>IFERROR(INDEX('_Комиссия_ВБ'!$B:$B;MATCH(C446;'_Комиссия_ВБ'!$A:$A;0));0,245)</f>
        <v/>
      </c>
      <c r="AH446" s="3">
        <f>AG446+AF446</f>
        <v/>
      </c>
      <c r="AI446" s="2">
        <f>L446*AH446</f>
        <v/>
      </c>
      <c r="AJ446" s="3">
        <f>IFERROR(INDEX('_Комиссия_ВБ'!$C:$C;MATCH(C446;'_Комиссия_ВБ'!$A:$A;0));0,28)</f>
        <v/>
      </c>
      <c r="AK446" s="3">
        <f>AJ446+AF446</f>
        <v/>
      </c>
      <c r="AL446" s="2">
        <f>L446*AK446</f>
        <v/>
      </c>
      <c r="AM446" s="2" t="n"/>
      <c r="AO446" s="3">
        <f>'_Настройки'!$B$5</f>
        <v/>
      </c>
      <c r="AP446" s="2">
        <f>IF(K446&gt;0;K446*AO446;0)</f>
        <v/>
      </c>
      <c r="AQ446" s="2">
        <f>L446-K446-AI446-AE446-IF(AM446&gt;0;AM446;'_Настройки'!$B$9)-AP446-AC446</f>
        <v/>
      </c>
      <c r="AR446" s="3">
        <f>IF(L446&gt;0;AQ446/L446;"")</f>
        <v/>
      </c>
      <c r="AS446" s="3">
        <f>IF(K446&gt;0;AQ446/K446;"")</f>
        <v/>
      </c>
      <c r="AT446" s="2">
        <f>L446-K446-AL446-AE446-IF(AM446&gt;0;AM446;'_Настройки'!$B$9)-AP446-AC446</f>
        <v/>
      </c>
      <c r="AU446" s="3">
        <f>IF(L446&gt;0;AT446/L446;"")</f>
        <v/>
      </c>
      <c r="AV446" s="3">
        <f>IF(K446&gt;0;AT446/K446;"")</f>
        <v/>
      </c>
    </row>
    <row r="447">
      <c r="A447">
        <f>ROW()-1</f>
        <v/>
      </c>
      <c r="K447" s="2">
        <f>IFERROR(INDEX('_Цены_закупки'!$B:$B;MATCH(C447;'_Цены_закупки'!$A:$A;0));"")</f>
        <v/>
      </c>
      <c r="L447" s="2" t="n"/>
      <c r="M447" s="2" t="n"/>
      <c r="N447" s="3">
        <f>IF(AND(M447&gt;0;L447&gt;0);1-L447/M447;"")</f>
        <v/>
      </c>
      <c r="O447" s="2">
        <f>IF(OR(Q447="";K447=0);"";(K447+IF(AM447&gt;0;AM447;'_Настройки'!$B$9)+AP447+AC447+Q447*K447)/(1-AH447-AD447))</f>
        <v/>
      </c>
      <c r="P447" s="2">
        <f>IF(O447="";"";O447-K447-O447*AH447-O447*AD447-IF(AM447&gt;0;AM447;'_Настройки'!$B$9)-AP447-AC447)</f>
        <v/>
      </c>
      <c r="Q447" s="3">
        <f>IF(AND(O447&gt;0;K447&gt;0);P447/K447;"")</f>
        <v/>
      </c>
      <c r="R447" s="2">
        <f>IF(O447="";"";O447-K447-O447*AK447-O447*AD447-IF(AM447&gt;0;AM447;'_Настройки'!$B$9)-AP447-AC447)</f>
        <v/>
      </c>
      <c r="S447" s="3">
        <f>IF(AND(O447&gt;0;K447&gt;0);R447/K447;"")</f>
        <v/>
      </c>
      <c r="T447" s="2" t="n"/>
      <c r="U447" s="3">
        <f>IF(AND(L447&gt;0;T447&gt;0);1-T447/L447;"")</f>
        <v/>
      </c>
      <c r="V447" s="3">
        <f>'_Настройки'!$B$4</f>
        <v/>
      </c>
      <c r="Z447" s="4">
        <f>IF(AND(W447&gt;0;X447&gt;0;Y447&gt;0);W447*X447*Y447/1000;"")</f>
        <v/>
      </c>
      <c r="AB447" s="2">
        <f>('_Настройки'!$B$6+MAX(0;Z447-1)*'_Настройки'!$B$7)*IF(AA447&gt;0;AA447;'_Настройки'!$B$10)</f>
        <v/>
      </c>
      <c r="AC447" s="2">
        <f>AB447*(1+'_Настройки'!$B$8)</f>
        <v/>
      </c>
      <c r="AD447" s="3">
        <f>'_Настройки'!$B$2</f>
        <v/>
      </c>
      <c r="AE447" s="2">
        <f>L447*AD447</f>
        <v/>
      </c>
      <c r="AF447" s="3">
        <f>'_Настройки'!$B$3</f>
        <v/>
      </c>
      <c r="AG447" s="3">
        <f>IFERROR(INDEX('_Комиссия_ВБ'!$B:$B;MATCH(C447;'_Комиссия_ВБ'!$A:$A;0));0,245)</f>
        <v/>
      </c>
      <c r="AH447" s="3">
        <f>AG447+AF447</f>
        <v/>
      </c>
      <c r="AI447" s="2">
        <f>L447*AH447</f>
        <v/>
      </c>
      <c r="AJ447" s="3">
        <f>IFERROR(INDEX('_Комиссия_ВБ'!$C:$C;MATCH(C447;'_Комиссия_ВБ'!$A:$A;0));0,28)</f>
        <v/>
      </c>
      <c r="AK447" s="3">
        <f>AJ447+AF447</f>
        <v/>
      </c>
      <c r="AL447" s="2">
        <f>L447*AK447</f>
        <v/>
      </c>
      <c r="AM447" s="2" t="n"/>
      <c r="AO447" s="3">
        <f>'_Настройки'!$B$5</f>
        <v/>
      </c>
      <c r="AP447" s="2">
        <f>IF(K447&gt;0;K447*AO447;0)</f>
        <v/>
      </c>
      <c r="AQ447" s="2">
        <f>L447-K447-AI447-AE447-IF(AM447&gt;0;AM447;'_Настройки'!$B$9)-AP447-AC447</f>
        <v/>
      </c>
      <c r="AR447" s="3">
        <f>IF(L447&gt;0;AQ447/L447;"")</f>
        <v/>
      </c>
      <c r="AS447" s="3">
        <f>IF(K447&gt;0;AQ447/K447;"")</f>
        <v/>
      </c>
      <c r="AT447" s="2">
        <f>L447-K447-AL447-AE447-IF(AM447&gt;0;AM447;'_Настройки'!$B$9)-AP447-AC447</f>
        <v/>
      </c>
      <c r="AU447" s="3">
        <f>IF(L447&gt;0;AT447/L447;"")</f>
        <v/>
      </c>
      <c r="AV447" s="3">
        <f>IF(K447&gt;0;AT447/K447;"")</f>
        <v/>
      </c>
    </row>
    <row r="448">
      <c r="A448">
        <f>ROW()-1</f>
        <v/>
      </c>
      <c r="K448" s="2">
        <f>IFERROR(INDEX('_Цены_закупки'!$B:$B;MATCH(C448;'_Цены_закупки'!$A:$A;0));"")</f>
        <v/>
      </c>
      <c r="L448" s="2" t="n"/>
      <c r="M448" s="2" t="n"/>
      <c r="N448" s="3">
        <f>IF(AND(M448&gt;0;L448&gt;0);1-L448/M448;"")</f>
        <v/>
      </c>
      <c r="O448" s="2">
        <f>IF(OR(Q448="";K448=0);"";(K448+IF(AM448&gt;0;AM448;'_Настройки'!$B$9)+AP448+AC448+Q448*K448)/(1-AH448-AD448))</f>
        <v/>
      </c>
      <c r="P448" s="2">
        <f>IF(O448="";"";O448-K448-O448*AH448-O448*AD448-IF(AM448&gt;0;AM448;'_Настройки'!$B$9)-AP448-AC448)</f>
        <v/>
      </c>
      <c r="Q448" s="3">
        <f>IF(AND(O448&gt;0;K448&gt;0);P448/K448;"")</f>
        <v/>
      </c>
      <c r="R448" s="2">
        <f>IF(O448="";"";O448-K448-O448*AK448-O448*AD448-IF(AM448&gt;0;AM448;'_Настройки'!$B$9)-AP448-AC448)</f>
        <v/>
      </c>
      <c r="S448" s="3">
        <f>IF(AND(O448&gt;0;K448&gt;0);R448/K448;"")</f>
        <v/>
      </c>
      <c r="T448" s="2" t="n"/>
      <c r="U448" s="3">
        <f>IF(AND(L448&gt;0;T448&gt;0);1-T448/L448;"")</f>
        <v/>
      </c>
      <c r="V448" s="3">
        <f>'_Настройки'!$B$4</f>
        <v/>
      </c>
      <c r="Z448" s="4">
        <f>IF(AND(W448&gt;0;X448&gt;0;Y448&gt;0);W448*X448*Y448/1000;"")</f>
        <v/>
      </c>
      <c r="AB448" s="2">
        <f>('_Настройки'!$B$6+MAX(0;Z448-1)*'_Настройки'!$B$7)*IF(AA448&gt;0;AA448;'_Настройки'!$B$10)</f>
        <v/>
      </c>
      <c r="AC448" s="2">
        <f>AB448*(1+'_Настройки'!$B$8)</f>
        <v/>
      </c>
      <c r="AD448" s="3">
        <f>'_Настройки'!$B$2</f>
        <v/>
      </c>
      <c r="AE448" s="2">
        <f>L448*AD448</f>
        <v/>
      </c>
      <c r="AF448" s="3">
        <f>'_Настройки'!$B$3</f>
        <v/>
      </c>
      <c r="AG448" s="3">
        <f>IFERROR(INDEX('_Комиссия_ВБ'!$B:$B;MATCH(C448;'_Комиссия_ВБ'!$A:$A;0));0,245)</f>
        <v/>
      </c>
      <c r="AH448" s="3">
        <f>AG448+AF448</f>
        <v/>
      </c>
      <c r="AI448" s="2">
        <f>L448*AH448</f>
        <v/>
      </c>
      <c r="AJ448" s="3">
        <f>IFERROR(INDEX('_Комиссия_ВБ'!$C:$C;MATCH(C448;'_Комиссия_ВБ'!$A:$A;0));0,28)</f>
        <v/>
      </c>
      <c r="AK448" s="3">
        <f>AJ448+AF448</f>
        <v/>
      </c>
      <c r="AL448" s="2">
        <f>L448*AK448</f>
        <v/>
      </c>
      <c r="AM448" s="2" t="n"/>
      <c r="AO448" s="3">
        <f>'_Настройки'!$B$5</f>
        <v/>
      </c>
      <c r="AP448" s="2">
        <f>IF(K448&gt;0;K448*AO448;0)</f>
        <v/>
      </c>
      <c r="AQ448" s="2">
        <f>L448-K448-AI448-AE448-IF(AM448&gt;0;AM448;'_Настройки'!$B$9)-AP448-AC448</f>
        <v/>
      </c>
      <c r="AR448" s="3">
        <f>IF(L448&gt;0;AQ448/L448;"")</f>
        <v/>
      </c>
      <c r="AS448" s="3">
        <f>IF(K448&gt;0;AQ448/K448;"")</f>
        <v/>
      </c>
      <c r="AT448" s="2">
        <f>L448-K448-AL448-AE448-IF(AM448&gt;0;AM448;'_Настройки'!$B$9)-AP448-AC448</f>
        <v/>
      </c>
      <c r="AU448" s="3">
        <f>IF(L448&gt;0;AT448/L448;"")</f>
        <v/>
      </c>
      <c r="AV448" s="3">
        <f>IF(K448&gt;0;AT448/K448;"")</f>
        <v/>
      </c>
    </row>
    <row r="449">
      <c r="A449">
        <f>ROW()-1</f>
        <v/>
      </c>
      <c r="K449" s="2">
        <f>IFERROR(INDEX('_Цены_закупки'!$B:$B;MATCH(C449;'_Цены_закупки'!$A:$A;0));"")</f>
        <v/>
      </c>
      <c r="L449" s="2" t="n"/>
      <c r="M449" s="2" t="n"/>
      <c r="N449" s="3">
        <f>IF(AND(M449&gt;0;L449&gt;0);1-L449/M449;"")</f>
        <v/>
      </c>
      <c r="O449" s="2">
        <f>IF(OR(Q449="";K449=0);"";(K449+IF(AM449&gt;0;AM449;'_Настройки'!$B$9)+AP449+AC449+Q449*K449)/(1-AH449-AD449))</f>
        <v/>
      </c>
      <c r="P449" s="2">
        <f>IF(O449="";"";O449-K449-O449*AH449-O449*AD449-IF(AM449&gt;0;AM449;'_Настройки'!$B$9)-AP449-AC449)</f>
        <v/>
      </c>
      <c r="Q449" s="3">
        <f>IF(AND(O449&gt;0;K449&gt;0);P449/K449;"")</f>
        <v/>
      </c>
      <c r="R449" s="2">
        <f>IF(O449="";"";O449-K449-O449*AK449-O449*AD449-IF(AM449&gt;0;AM449;'_Настройки'!$B$9)-AP449-AC449)</f>
        <v/>
      </c>
      <c r="S449" s="3">
        <f>IF(AND(O449&gt;0;K449&gt;0);R449/K449;"")</f>
        <v/>
      </c>
      <c r="T449" s="2" t="n"/>
      <c r="U449" s="3">
        <f>IF(AND(L449&gt;0;T449&gt;0);1-T449/L449;"")</f>
        <v/>
      </c>
      <c r="V449" s="3">
        <f>'_Настройки'!$B$4</f>
        <v/>
      </c>
      <c r="Z449" s="4">
        <f>IF(AND(W449&gt;0;X449&gt;0;Y449&gt;0);W449*X449*Y449/1000;"")</f>
        <v/>
      </c>
      <c r="AB449" s="2">
        <f>('_Настройки'!$B$6+MAX(0;Z449-1)*'_Настройки'!$B$7)*IF(AA449&gt;0;AA449;'_Настройки'!$B$10)</f>
        <v/>
      </c>
      <c r="AC449" s="2">
        <f>AB449*(1+'_Настройки'!$B$8)</f>
        <v/>
      </c>
      <c r="AD449" s="3">
        <f>'_Настройки'!$B$2</f>
        <v/>
      </c>
      <c r="AE449" s="2">
        <f>L449*AD449</f>
        <v/>
      </c>
      <c r="AF449" s="3">
        <f>'_Настройки'!$B$3</f>
        <v/>
      </c>
      <c r="AG449" s="3">
        <f>IFERROR(INDEX('_Комиссия_ВБ'!$B:$B;MATCH(C449;'_Комиссия_ВБ'!$A:$A;0));0,245)</f>
        <v/>
      </c>
      <c r="AH449" s="3">
        <f>AG449+AF449</f>
        <v/>
      </c>
      <c r="AI449" s="2">
        <f>L449*AH449</f>
        <v/>
      </c>
      <c r="AJ449" s="3">
        <f>IFERROR(INDEX('_Комиссия_ВБ'!$C:$C;MATCH(C449;'_Комиссия_ВБ'!$A:$A;0));0,28)</f>
        <v/>
      </c>
      <c r="AK449" s="3">
        <f>AJ449+AF449</f>
        <v/>
      </c>
      <c r="AL449" s="2">
        <f>L449*AK449</f>
        <v/>
      </c>
      <c r="AM449" s="2" t="n"/>
      <c r="AO449" s="3">
        <f>'_Настройки'!$B$5</f>
        <v/>
      </c>
      <c r="AP449" s="2">
        <f>IF(K449&gt;0;K449*AO449;0)</f>
        <v/>
      </c>
      <c r="AQ449" s="2">
        <f>L449-K449-AI449-AE449-IF(AM449&gt;0;AM449;'_Настройки'!$B$9)-AP449-AC449</f>
        <v/>
      </c>
      <c r="AR449" s="3">
        <f>IF(L449&gt;0;AQ449/L449;"")</f>
        <v/>
      </c>
      <c r="AS449" s="3">
        <f>IF(K449&gt;0;AQ449/K449;"")</f>
        <v/>
      </c>
      <c r="AT449" s="2">
        <f>L449-K449-AL449-AE449-IF(AM449&gt;0;AM449;'_Настройки'!$B$9)-AP449-AC449</f>
        <v/>
      </c>
      <c r="AU449" s="3">
        <f>IF(L449&gt;0;AT449/L449;"")</f>
        <v/>
      </c>
      <c r="AV449" s="3">
        <f>IF(K449&gt;0;AT449/K449;"")</f>
        <v/>
      </c>
    </row>
    <row r="450">
      <c r="A450">
        <f>ROW()-1</f>
        <v/>
      </c>
      <c r="K450" s="2">
        <f>IFERROR(INDEX('_Цены_закупки'!$B:$B;MATCH(C450;'_Цены_закупки'!$A:$A;0));"")</f>
        <v/>
      </c>
      <c r="L450" s="2" t="n"/>
      <c r="M450" s="2" t="n"/>
      <c r="N450" s="3">
        <f>IF(AND(M450&gt;0;L450&gt;0);1-L450/M450;"")</f>
        <v/>
      </c>
      <c r="O450" s="2">
        <f>IF(OR(Q450="";K450=0);"";(K450+IF(AM450&gt;0;AM450;'_Настройки'!$B$9)+AP450+AC450+Q450*K450)/(1-AH450-AD450))</f>
        <v/>
      </c>
      <c r="P450" s="2">
        <f>IF(O450="";"";O450-K450-O450*AH450-O450*AD450-IF(AM450&gt;0;AM450;'_Настройки'!$B$9)-AP450-AC450)</f>
        <v/>
      </c>
      <c r="Q450" s="3">
        <f>IF(AND(O450&gt;0;K450&gt;0);P450/K450;"")</f>
        <v/>
      </c>
      <c r="R450" s="2">
        <f>IF(O450="";"";O450-K450-O450*AK450-O450*AD450-IF(AM450&gt;0;AM450;'_Настройки'!$B$9)-AP450-AC450)</f>
        <v/>
      </c>
      <c r="S450" s="3">
        <f>IF(AND(O450&gt;0;K450&gt;0);R450/K450;"")</f>
        <v/>
      </c>
      <c r="T450" s="2" t="n"/>
      <c r="U450" s="3">
        <f>IF(AND(L450&gt;0;T450&gt;0);1-T450/L450;"")</f>
        <v/>
      </c>
      <c r="V450" s="3">
        <f>'_Настройки'!$B$4</f>
        <v/>
      </c>
      <c r="Z450" s="4">
        <f>IF(AND(W450&gt;0;X450&gt;0;Y450&gt;0);W450*X450*Y450/1000;"")</f>
        <v/>
      </c>
      <c r="AB450" s="2">
        <f>('_Настройки'!$B$6+MAX(0;Z450-1)*'_Настройки'!$B$7)*IF(AA450&gt;0;AA450;'_Настройки'!$B$10)</f>
        <v/>
      </c>
      <c r="AC450" s="2">
        <f>AB450*(1+'_Настройки'!$B$8)</f>
        <v/>
      </c>
      <c r="AD450" s="3">
        <f>'_Настройки'!$B$2</f>
        <v/>
      </c>
      <c r="AE450" s="2">
        <f>L450*AD450</f>
        <v/>
      </c>
      <c r="AF450" s="3">
        <f>'_Настройки'!$B$3</f>
        <v/>
      </c>
      <c r="AG450" s="3">
        <f>IFERROR(INDEX('_Комиссия_ВБ'!$B:$B;MATCH(C450;'_Комиссия_ВБ'!$A:$A;0));0,245)</f>
        <v/>
      </c>
      <c r="AH450" s="3">
        <f>AG450+AF450</f>
        <v/>
      </c>
      <c r="AI450" s="2">
        <f>L450*AH450</f>
        <v/>
      </c>
      <c r="AJ450" s="3">
        <f>IFERROR(INDEX('_Комиссия_ВБ'!$C:$C;MATCH(C450;'_Комиссия_ВБ'!$A:$A;0));0,28)</f>
        <v/>
      </c>
      <c r="AK450" s="3">
        <f>AJ450+AF450</f>
        <v/>
      </c>
      <c r="AL450" s="2">
        <f>L450*AK450</f>
        <v/>
      </c>
      <c r="AM450" s="2" t="n"/>
      <c r="AO450" s="3">
        <f>'_Настройки'!$B$5</f>
        <v/>
      </c>
      <c r="AP450" s="2">
        <f>IF(K450&gt;0;K450*AO450;0)</f>
        <v/>
      </c>
      <c r="AQ450" s="2">
        <f>L450-K450-AI450-AE450-IF(AM450&gt;0;AM450;'_Настройки'!$B$9)-AP450-AC450</f>
        <v/>
      </c>
      <c r="AR450" s="3">
        <f>IF(L450&gt;0;AQ450/L450;"")</f>
        <v/>
      </c>
      <c r="AS450" s="3">
        <f>IF(K450&gt;0;AQ450/K450;"")</f>
        <v/>
      </c>
      <c r="AT450" s="2">
        <f>L450-K450-AL450-AE450-IF(AM450&gt;0;AM450;'_Настройки'!$B$9)-AP450-AC450</f>
        <v/>
      </c>
      <c r="AU450" s="3">
        <f>IF(L450&gt;0;AT450/L450;"")</f>
        <v/>
      </c>
      <c r="AV450" s="3">
        <f>IF(K450&gt;0;AT450/K450;"")</f>
        <v/>
      </c>
    </row>
    <row r="451">
      <c r="A451">
        <f>ROW()-1</f>
        <v/>
      </c>
      <c r="K451" s="2">
        <f>IFERROR(INDEX('_Цены_закупки'!$B:$B;MATCH(C451;'_Цены_закупки'!$A:$A;0));"")</f>
        <v/>
      </c>
      <c r="L451" s="2" t="n"/>
      <c r="M451" s="2" t="n"/>
      <c r="N451" s="3">
        <f>IF(AND(M451&gt;0;L451&gt;0);1-L451/M451;"")</f>
        <v/>
      </c>
      <c r="O451" s="2">
        <f>IF(OR(Q451="";K451=0);"";(K451+IF(AM451&gt;0;AM451;'_Настройки'!$B$9)+AP451+AC451+Q451*K451)/(1-AH451-AD451))</f>
        <v/>
      </c>
      <c r="P451" s="2">
        <f>IF(O451="";"";O451-K451-O451*AH451-O451*AD451-IF(AM451&gt;0;AM451;'_Настройки'!$B$9)-AP451-AC451)</f>
        <v/>
      </c>
      <c r="Q451" s="3">
        <f>IF(AND(O451&gt;0;K451&gt;0);P451/K451;"")</f>
        <v/>
      </c>
      <c r="R451" s="2">
        <f>IF(O451="";"";O451-K451-O451*AK451-O451*AD451-IF(AM451&gt;0;AM451;'_Настройки'!$B$9)-AP451-AC451)</f>
        <v/>
      </c>
      <c r="S451" s="3">
        <f>IF(AND(O451&gt;0;K451&gt;0);R451/K451;"")</f>
        <v/>
      </c>
      <c r="T451" s="2" t="n"/>
      <c r="U451" s="3">
        <f>IF(AND(L451&gt;0;T451&gt;0);1-T451/L451;"")</f>
        <v/>
      </c>
      <c r="V451" s="3">
        <f>'_Настройки'!$B$4</f>
        <v/>
      </c>
      <c r="Z451" s="4">
        <f>IF(AND(W451&gt;0;X451&gt;0;Y451&gt;0);W451*X451*Y451/1000;"")</f>
        <v/>
      </c>
      <c r="AB451" s="2">
        <f>('_Настройки'!$B$6+MAX(0;Z451-1)*'_Настройки'!$B$7)*IF(AA451&gt;0;AA451;'_Настройки'!$B$10)</f>
        <v/>
      </c>
      <c r="AC451" s="2">
        <f>AB451*(1+'_Настройки'!$B$8)</f>
        <v/>
      </c>
      <c r="AD451" s="3">
        <f>'_Настройки'!$B$2</f>
        <v/>
      </c>
      <c r="AE451" s="2">
        <f>L451*AD451</f>
        <v/>
      </c>
      <c r="AF451" s="3">
        <f>'_Настройки'!$B$3</f>
        <v/>
      </c>
      <c r="AG451" s="3">
        <f>IFERROR(INDEX('_Комиссия_ВБ'!$B:$B;MATCH(C451;'_Комиссия_ВБ'!$A:$A;0));0,245)</f>
        <v/>
      </c>
      <c r="AH451" s="3">
        <f>AG451+AF451</f>
        <v/>
      </c>
      <c r="AI451" s="2">
        <f>L451*AH451</f>
        <v/>
      </c>
      <c r="AJ451" s="3">
        <f>IFERROR(INDEX('_Комиссия_ВБ'!$C:$C;MATCH(C451;'_Комиссия_ВБ'!$A:$A;0));0,28)</f>
        <v/>
      </c>
      <c r="AK451" s="3">
        <f>AJ451+AF451</f>
        <v/>
      </c>
      <c r="AL451" s="2">
        <f>L451*AK451</f>
        <v/>
      </c>
      <c r="AM451" s="2" t="n"/>
      <c r="AO451" s="3">
        <f>'_Настройки'!$B$5</f>
        <v/>
      </c>
      <c r="AP451" s="2">
        <f>IF(K451&gt;0;K451*AO451;0)</f>
        <v/>
      </c>
      <c r="AQ451" s="2">
        <f>L451-K451-AI451-AE451-IF(AM451&gt;0;AM451;'_Настройки'!$B$9)-AP451-AC451</f>
        <v/>
      </c>
      <c r="AR451" s="3">
        <f>IF(L451&gt;0;AQ451/L451;"")</f>
        <v/>
      </c>
      <c r="AS451" s="3">
        <f>IF(K451&gt;0;AQ451/K451;"")</f>
        <v/>
      </c>
      <c r="AT451" s="2">
        <f>L451-K451-AL451-AE451-IF(AM451&gt;0;AM451;'_Настройки'!$B$9)-AP451-AC451</f>
        <v/>
      </c>
      <c r="AU451" s="3">
        <f>IF(L451&gt;0;AT451/L451;"")</f>
        <v/>
      </c>
      <c r="AV451" s="3">
        <f>IF(K451&gt;0;AT451/K451;"")</f>
        <v/>
      </c>
    </row>
    <row r="452">
      <c r="A452">
        <f>ROW()-1</f>
        <v/>
      </c>
      <c r="K452" s="2">
        <f>IFERROR(INDEX('_Цены_закупки'!$B:$B;MATCH(C452;'_Цены_закупки'!$A:$A;0));"")</f>
        <v/>
      </c>
      <c r="L452" s="2" t="n"/>
      <c r="M452" s="2" t="n"/>
      <c r="N452" s="3">
        <f>IF(AND(M452&gt;0;L452&gt;0);1-L452/M452;"")</f>
        <v/>
      </c>
      <c r="O452" s="2">
        <f>IF(OR(Q452="";K452=0);"";(K452+IF(AM452&gt;0;AM452;'_Настройки'!$B$9)+AP452+AC452+Q452*K452)/(1-AH452-AD452))</f>
        <v/>
      </c>
      <c r="P452" s="2">
        <f>IF(O452="";"";O452-K452-O452*AH452-O452*AD452-IF(AM452&gt;0;AM452;'_Настройки'!$B$9)-AP452-AC452)</f>
        <v/>
      </c>
      <c r="Q452" s="3">
        <f>IF(AND(O452&gt;0;K452&gt;0);P452/K452;"")</f>
        <v/>
      </c>
      <c r="R452" s="2">
        <f>IF(O452="";"";O452-K452-O452*AK452-O452*AD452-IF(AM452&gt;0;AM452;'_Настройки'!$B$9)-AP452-AC452)</f>
        <v/>
      </c>
      <c r="S452" s="3">
        <f>IF(AND(O452&gt;0;K452&gt;0);R452/K452;"")</f>
        <v/>
      </c>
      <c r="T452" s="2" t="n"/>
      <c r="U452" s="3">
        <f>IF(AND(L452&gt;0;T452&gt;0);1-T452/L452;"")</f>
        <v/>
      </c>
      <c r="V452" s="3">
        <f>'_Настройки'!$B$4</f>
        <v/>
      </c>
      <c r="Z452" s="4">
        <f>IF(AND(W452&gt;0;X452&gt;0;Y452&gt;0);W452*X452*Y452/1000;"")</f>
        <v/>
      </c>
      <c r="AB452" s="2">
        <f>('_Настройки'!$B$6+MAX(0;Z452-1)*'_Настройки'!$B$7)*IF(AA452&gt;0;AA452;'_Настройки'!$B$10)</f>
        <v/>
      </c>
      <c r="AC452" s="2">
        <f>AB452*(1+'_Настройки'!$B$8)</f>
        <v/>
      </c>
      <c r="AD452" s="3">
        <f>'_Настройки'!$B$2</f>
        <v/>
      </c>
      <c r="AE452" s="2">
        <f>L452*AD452</f>
        <v/>
      </c>
      <c r="AF452" s="3">
        <f>'_Настройки'!$B$3</f>
        <v/>
      </c>
      <c r="AG452" s="3">
        <f>IFERROR(INDEX('_Комиссия_ВБ'!$B:$B;MATCH(C452;'_Комиссия_ВБ'!$A:$A;0));0,245)</f>
        <v/>
      </c>
      <c r="AH452" s="3">
        <f>AG452+AF452</f>
        <v/>
      </c>
      <c r="AI452" s="2">
        <f>L452*AH452</f>
        <v/>
      </c>
      <c r="AJ452" s="3">
        <f>IFERROR(INDEX('_Комиссия_ВБ'!$C:$C;MATCH(C452;'_Комиссия_ВБ'!$A:$A;0));0,28)</f>
        <v/>
      </c>
      <c r="AK452" s="3">
        <f>AJ452+AF452</f>
        <v/>
      </c>
      <c r="AL452" s="2">
        <f>L452*AK452</f>
        <v/>
      </c>
      <c r="AM452" s="2" t="n"/>
      <c r="AO452" s="3">
        <f>'_Настройки'!$B$5</f>
        <v/>
      </c>
      <c r="AP452" s="2">
        <f>IF(K452&gt;0;K452*AO452;0)</f>
        <v/>
      </c>
      <c r="AQ452" s="2">
        <f>L452-K452-AI452-AE452-IF(AM452&gt;0;AM452;'_Настройки'!$B$9)-AP452-AC452</f>
        <v/>
      </c>
      <c r="AR452" s="3">
        <f>IF(L452&gt;0;AQ452/L452;"")</f>
        <v/>
      </c>
      <c r="AS452" s="3">
        <f>IF(K452&gt;0;AQ452/K452;"")</f>
        <v/>
      </c>
      <c r="AT452" s="2">
        <f>L452-K452-AL452-AE452-IF(AM452&gt;0;AM452;'_Настройки'!$B$9)-AP452-AC452</f>
        <v/>
      </c>
      <c r="AU452" s="3">
        <f>IF(L452&gt;0;AT452/L452;"")</f>
        <v/>
      </c>
      <c r="AV452" s="3">
        <f>IF(K452&gt;0;AT452/K452;"")</f>
        <v/>
      </c>
    </row>
    <row r="453">
      <c r="A453">
        <f>ROW()-1</f>
        <v/>
      </c>
      <c r="K453" s="2">
        <f>IFERROR(INDEX('_Цены_закупки'!$B:$B;MATCH(C453;'_Цены_закупки'!$A:$A;0));"")</f>
        <v/>
      </c>
      <c r="L453" s="2" t="n"/>
      <c r="M453" s="2" t="n"/>
      <c r="N453" s="3">
        <f>IF(AND(M453&gt;0;L453&gt;0);1-L453/M453;"")</f>
        <v/>
      </c>
      <c r="O453" s="2">
        <f>IF(OR(Q453="";K453=0);"";(K453+IF(AM453&gt;0;AM453;'_Настройки'!$B$9)+AP453+AC453+Q453*K453)/(1-AH453-AD453))</f>
        <v/>
      </c>
      <c r="P453" s="2">
        <f>IF(O453="";"";O453-K453-O453*AH453-O453*AD453-IF(AM453&gt;0;AM453;'_Настройки'!$B$9)-AP453-AC453)</f>
        <v/>
      </c>
      <c r="Q453" s="3">
        <f>IF(AND(O453&gt;0;K453&gt;0);P453/K453;"")</f>
        <v/>
      </c>
      <c r="R453" s="2">
        <f>IF(O453="";"";O453-K453-O453*AK453-O453*AD453-IF(AM453&gt;0;AM453;'_Настройки'!$B$9)-AP453-AC453)</f>
        <v/>
      </c>
      <c r="S453" s="3">
        <f>IF(AND(O453&gt;0;K453&gt;0);R453/K453;"")</f>
        <v/>
      </c>
      <c r="T453" s="2" t="n"/>
      <c r="U453" s="3">
        <f>IF(AND(L453&gt;0;T453&gt;0);1-T453/L453;"")</f>
        <v/>
      </c>
      <c r="V453" s="3">
        <f>'_Настройки'!$B$4</f>
        <v/>
      </c>
      <c r="Z453" s="4">
        <f>IF(AND(W453&gt;0;X453&gt;0;Y453&gt;0);W453*X453*Y453/1000;"")</f>
        <v/>
      </c>
      <c r="AB453" s="2">
        <f>('_Настройки'!$B$6+MAX(0;Z453-1)*'_Настройки'!$B$7)*IF(AA453&gt;0;AA453;'_Настройки'!$B$10)</f>
        <v/>
      </c>
      <c r="AC453" s="2">
        <f>AB453*(1+'_Настройки'!$B$8)</f>
        <v/>
      </c>
      <c r="AD453" s="3">
        <f>'_Настройки'!$B$2</f>
        <v/>
      </c>
      <c r="AE453" s="2">
        <f>L453*AD453</f>
        <v/>
      </c>
      <c r="AF453" s="3">
        <f>'_Настройки'!$B$3</f>
        <v/>
      </c>
      <c r="AG453" s="3">
        <f>IFERROR(INDEX('_Комиссия_ВБ'!$B:$B;MATCH(C453;'_Комиссия_ВБ'!$A:$A;0));0,245)</f>
        <v/>
      </c>
      <c r="AH453" s="3">
        <f>AG453+AF453</f>
        <v/>
      </c>
      <c r="AI453" s="2">
        <f>L453*AH453</f>
        <v/>
      </c>
      <c r="AJ453" s="3">
        <f>IFERROR(INDEX('_Комиссия_ВБ'!$C:$C;MATCH(C453;'_Комиссия_ВБ'!$A:$A;0));0,28)</f>
        <v/>
      </c>
      <c r="AK453" s="3">
        <f>AJ453+AF453</f>
        <v/>
      </c>
      <c r="AL453" s="2">
        <f>L453*AK453</f>
        <v/>
      </c>
      <c r="AM453" s="2" t="n"/>
      <c r="AO453" s="3">
        <f>'_Настройки'!$B$5</f>
        <v/>
      </c>
      <c r="AP453" s="2">
        <f>IF(K453&gt;0;K453*AO453;0)</f>
        <v/>
      </c>
      <c r="AQ453" s="2">
        <f>L453-K453-AI453-AE453-IF(AM453&gt;0;AM453;'_Настройки'!$B$9)-AP453-AC453</f>
        <v/>
      </c>
      <c r="AR453" s="3">
        <f>IF(L453&gt;0;AQ453/L453;"")</f>
        <v/>
      </c>
      <c r="AS453" s="3">
        <f>IF(K453&gt;0;AQ453/K453;"")</f>
        <v/>
      </c>
      <c r="AT453" s="2">
        <f>L453-K453-AL453-AE453-IF(AM453&gt;0;AM453;'_Настройки'!$B$9)-AP453-AC453</f>
        <v/>
      </c>
      <c r="AU453" s="3">
        <f>IF(L453&gt;0;AT453/L453;"")</f>
        <v/>
      </c>
      <c r="AV453" s="3">
        <f>IF(K453&gt;0;AT453/K453;"")</f>
        <v/>
      </c>
    </row>
    <row r="454">
      <c r="A454">
        <f>ROW()-1</f>
        <v/>
      </c>
      <c r="K454" s="2">
        <f>IFERROR(INDEX('_Цены_закупки'!$B:$B;MATCH(C454;'_Цены_закупки'!$A:$A;0));"")</f>
        <v/>
      </c>
      <c r="L454" s="2" t="n"/>
      <c r="M454" s="2" t="n"/>
      <c r="N454" s="3">
        <f>IF(AND(M454&gt;0;L454&gt;0);1-L454/M454;"")</f>
        <v/>
      </c>
      <c r="O454" s="2">
        <f>IF(OR(Q454="";K454=0);"";(K454+IF(AM454&gt;0;AM454;'_Настройки'!$B$9)+AP454+AC454+Q454*K454)/(1-AH454-AD454))</f>
        <v/>
      </c>
      <c r="P454" s="2">
        <f>IF(O454="";"";O454-K454-O454*AH454-O454*AD454-IF(AM454&gt;0;AM454;'_Настройки'!$B$9)-AP454-AC454)</f>
        <v/>
      </c>
      <c r="Q454" s="3">
        <f>IF(AND(O454&gt;0;K454&gt;0);P454/K454;"")</f>
        <v/>
      </c>
      <c r="R454" s="2">
        <f>IF(O454="";"";O454-K454-O454*AK454-O454*AD454-IF(AM454&gt;0;AM454;'_Настройки'!$B$9)-AP454-AC454)</f>
        <v/>
      </c>
      <c r="S454" s="3">
        <f>IF(AND(O454&gt;0;K454&gt;0);R454/K454;"")</f>
        <v/>
      </c>
      <c r="T454" s="2" t="n"/>
      <c r="U454" s="3">
        <f>IF(AND(L454&gt;0;T454&gt;0);1-T454/L454;"")</f>
        <v/>
      </c>
      <c r="V454" s="3">
        <f>'_Настройки'!$B$4</f>
        <v/>
      </c>
      <c r="Z454" s="4">
        <f>IF(AND(W454&gt;0;X454&gt;0;Y454&gt;0);W454*X454*Y454/1000;"")</f>
        <v/>
      </c>
      <c r="AB454" s="2">
        <f>('_Настройки'!$B$6+MAX(0;Z454-1)*'_Настройки'!$B$7)*IF(AA454&gt;0;AA454;'_Настройки'!$B$10)</f>
        <v/>
      </c>
      <c r="AC454" s="2">
        <f>AB454*(1+'_Настройки'!$B$8)</f>
        <v/>
      </c>
      <c r="AD454" s="3">
        <f>'_Настройки'!$B$2</f>
        <v/>
      </c>
      <c r="AE454" s="2">
        <f>L454*AD454</f>
        <v/>
      </c>
      <c r="AF454" s="3">
        <f>'_Настройки'!$B$3</f>
        <v/>
      </c>
      <c r="AG454" s="3">
        <f>IFERROR(INDEX('_Комиссия_ВБ'!$B:$B;MATCH(C454;'_Комиссия_ВБ'!$A:$A;0));0,245)</f>
        <v/>
      </c>
      <c r="AH454" s="3">
        <f>AG454+AF454</f>
        <v/>
      </c>
      <c r="AI454" s="2">
        <f>L454*AH454</f>
        <v/>
      </c>
      <c r="AJ454" s="3">
        <f>IFERROR(INDEX('_Комиссия_ВБ'!$C:$C;MATCH(C454;'_Комиссия_ВБ'!$A:$A;0));0,28)</f>
        <v/>
      </c>
      <c r="AK454" s="3">
        <f>AJ454+AF454</f>
        <v/>
      </c>
      <c r="AL454" s="2">
        <f>L454*AK454</f>
        <v/>
      </c>
      <c r="AM454" s="2" t="n"/>
      <c r="AO454" s="3">
        <f>'_Настройки'!$B$5</f>
        <v/>
      </c>
      <c r="AP454" s="2">
        <f>IF(K454&gt;0;K454*AO454;0)</f>
        <v/>
      </c>
      <c r="AQ454" s="2">
        <f>L454-K454-AI454-AE454-IF(AM454&gt;0;AM454;'_Настройки'!$B$9)-AP454-AC454</f>
        <v/>
      </c>
      <c r="AR454" s="3">
        <f>IF(L454&gt;0;AQ454/L454;"")</f>
        <v/>
      </c>
      <c r="AS454" s="3">
        <f>IF(K454&gt;0;AQ454/K454;"")</f>
        <v/>
      </c>
      <c r="AT454" s="2">
        <f>L454-K454-AL454-AE454-IF(AM454&gt;0;AM454;'_Настройки'!$B$9)-AP454-AC454</f>
        <v/>
      </c>
      <c r="AU454" s="3">
        <f>IF(L454&gt;0;AT454/L454;"")</f>
        <v/>
      </c>
      <c r="AV454" s="3">
        <f>IF(K454&gt;0;AT454/K454;"")</f>
        <v/>
      </c>
    </row>
    <row r="455">
      <c r="A455">
        <f>ROW()-1</f>
        <v/>
      </c>
      <c r="K455" s="2">
        <f>IFERROR(INDEX('_Цены_закупки'!$B:$B;MATCH(C455;'_Цены_закупки'!$A:$A;0));"")</f>
        <v/>
      </c>
      <c r="L455" s="2" t="n"/>
      <c r="M455" s="2" t="n"/>
      <c r="N455" s="3">
        <f>IF(AND(M455&gt;0;L455&gt;0);1-L455/M455;"")</f>
        <v/>
      </c>
      <c r="O455" s="2">
        <f>IF(OR(Q455="";K455=0);"";(K455+IF(AM455&gt;0;AM455;'_Настройки'!$B$9)+AP455+AC455+Q455*K455)/(1-AH455-AD455))</f>
        <v/>
      </c>
      <c r="P455" s="2">
        <f>IF(O455="";"";O455-K455-O455*AH455-O455*AD455-IF(AM455&gt;0;AM455;'_Настройки'!$B$9)-AP455-AC455)</f>
        <v/>
      </c>
      <c r="Q455" s="3">
        <f>IF(AND(O455&gt;0;K455&gt;0);P455/K455;"")</f>
        <v/>
      </c>
      <c r="R455" s="2">
        <f>IF(O455="";"";O455-K455-O455*AK455-O455*AD455-IF(AM455&gt;0;AM455;'_Настройки'!$B$9)-AP455-AC455)</f>
        <v/>
      </c>
      <c r="S455" s="3">
        <f>IF(AND(O455&gt;0;K455&gt;0);R455/K455;"")</f>
        <v/>
      </c>
      <c r="T455" s="2" t="n"/>
      <c r="U455" s="3">
        <f>IF(AND(L455&gt;0;T455&gt;0);1-T455/L455;"")</f>
        <v/>
      </c>
      <c r="V455" s="3">
        <f>'_Настройки'!$B$4</f>
        <v/>
      </c>
      <c r="Z455" s="4">
        <f>IF(AND(W455&gt;0;X455&gt;0;Y455&gt;0);W455*X455*Y455/1000;"")</f>
        <v/>
      </c>
      <c r="AB455" s="2">
        <f>('_Настройки'!$B$6+MAX(0;Z455-1)*'_Настройки'!$B$7)*IF(AA455&gt;0;AA455;'_Настройки'!$B$10)</f>
        <v/>
      </c>
      <c r="AC455" s="2">
        <f>AB455*(1+'_Настройки'!$B$8)</f>
        <v/>
      </c>
      <c r="AD455" s="3">
        <f>'_Настройки'!$B$2</f>
        <v/>
      </c>
      <c r="AE455" s="2">
        <f>L455*AD455</f>
        <v/>
      </c>
      <c r="AF455" s="3">
        <f>'_Настройки'!$B$3</f>
        <v/>
      </c>
      <c r="AG455" s="3">
        <f>IFERROR(INDEX('_Комиссия_ВБ'!$B:$B;MATCH(C455;'_Комиссия_ВБ'!$A:$A;0));0,245)</f>
        <v/>
      </c>
      <c r="AH455" s="3">
        <f>AG455+AF455</f>
        <v/>
      </c>
      <c r="AI455" s="2">
        <f>L455*AH455</f>
        <v/>
      </c>
      <c r="AJ455" s="3">
        <f>IFERROR(INDEX('_Комиссия_ВБ'!$C:$C;MATCH(C455;'_Комиссия_ВБ'!$A:$A;0));0,28)</f>
        <v/>
      </c>
      <c r="AK455" s="3">
        <f>AJ455+AF455</f>
        <v/>
      </c>
      <c r="AL455" s="2">
        <f>L455*AK455</f>
        <v/>
      </c>
      <c r="AM455" s="2" t="n"/>
      <c r="AO455" s="3">
        <f>'_Настройки'!$B$5</f>
        <v/>
      </c>
      <c r="AP455" s="2">
        <f>IF(K455&gt;0;K455*AO455;0)</f>
        <v/>
      </c>
      <c r="AQ455" s="2">
        <f>L455-K455-AI455-AE455-IF(AM455&gt;0;AM455;'_Настройки'!$B$9)-AP455-AC455</f>
        <v/>
      </c>
      <c r="AR455" s="3">
        <f>IF(L455&gt;0;AQ455/L455;"")</f>
        <v/>
      </c>
      <c r="AS455" s="3">
        <f>IF(K455&gt;0;AQ455/K455;"")</f>
        <v/>
      </c>
      <c r="AT455" s="2">
        <f>L455-K455-AL455-AE455-IF(AM455&gt;0;AM455;'_Настройки'!$B$9)-AP455-AC455</f>
        <v/>
      </c>
      <c r="AU455" s="3">
        <f>IF(L455&gt;0;AT455/L455;"")</f>
        <v/>
      </c>
      <c r="AV455" s="3">
        <f>IF(K455&gt;0;AT455/K455;"")</f>
        <v/>
      </c>
    </row>
    <row r="456">
      <c r="A456">
        <f>ROW()-1</f>
        <v/>
      </c>
      <c r="K456" s="2">
        <f>IFERROR(INDEX('_Цены_закупки'!$B:$B;MATCH(C456;'_Цены_закупки'!$A:$A;0));"")</f>
        <v/>
      </c>
      <c r="L456" s="2" t="n"/>
      <c r="M456" s="2" t="n"/>
      <c r="N456" s="3">
        <f>IF(AND(M456&gt;0;L456&gt;0);1-L456/M456;"")</f>
        <v/>
      </c>
      <c r="O456" s="2">
        <f>IF(OR(Q456="";K456=0);"";(K456+IF(AM456&gt;0;AM456;'_Настройки'!$B$9)+AP456+AC456+Q456*K456)/(1-AH456-AD456))</f>
        <v/>
      </c>
      <c r="P456" s="2">
        <f>IF(O456="";"";O456-K456-O456*AH456-O456*AD456-IF(AM456&gt;0;AM456;'_Настройки'!$B$9)-AP456-AC456)</f>
        <v/>
      </c>
      <c r="Q456" s="3">
        <f>IF(AND(O456&gt;0;K456&gt;0);P456/K456;"")</f>
        <v/>
      </c>
      <c r="R456" s="2">
        <f>IF(O456="";"";O456-K456-O456*AK456-O456*AD456-IF(AM456&gt;0;AM456;'_Настройки'!$B$9)-AP456-AC456)</f>
        <v/>
      </c>
      <c r="S456" s="3">
        <f>IF(AND(O456&gt;0;K456&gt;0);R456/K456;"")</f>
        <v/>
      </c>
      <c r="T456" s="2" t="n"/>
      <c r="U456" s="3">
        <f>IF(AND(L456&gt;0;T456&gt;0);1-T456/L456;"")</f>
        <v/>
      </c>
      <c r="V456" s="3">
        <f>'_Настройки'!$B$4</f>
        <v/>
      </c>
      <c r="Z456" s="4">
        <f>IF(AND(W456&gt;0;X456&gt;0;Y456&gt;0);W456*X456*Y456/1000;"")</f>
        <v/>
      </c>
      <c r="AB456" s="2">
        <f>('_Настройки'!$B$6+MAX(0;Z456-1)*'_Настройки'!$B$7)*IF(AA456&gt;0;AA456;'_Настройки'!$B$10)</f>
        <v/>
      </c>
      <c r="AC456" s="2">
        <f>AB456*(1+'_Настройки'!$B$8)</f>
        <v/>
      </c>
      <c r="AD456" s="3">
        <f>'_Настройки'!$B$2</f>
        <v/>
      </c>
      <c r="AE456" s="2">
        <f>L456*AD456</f>
        <v/>
      </c>
      <c r="AF456" s="3">
        <f>'_Настройки'!$B$3</f>
        <v/>
      </c>
      <c r="AG456" s="3">
        <f>IFERROR(INDEX('_Комиссия_ВБ'!$B:$B;MATCH(C456;'_Комиссия_ВБ'!$A:$A;0));0,245)</f>
        <v/>
      </c>
      <c r="AH456" s="3">
        <f>AG456+AF456</f>
        <v/>
      </c>
      <c r="AI456" s="2">
        <f>L456*AH456</f>
        <v/>
      </c>
      <c r="AJ456" s="3">
        <f>IFERROR(INDEX('_Комиссия_ВБ'!$C:$C;MATCH(C456;'_Комиссия_ВБ'!$A:$A;0));0,28)</f>
        <v/>
      </c>
      <c r="AK456" s="3">
        <f>AJ456+AF456</f>
        <v/>
      </c>
      <c r="AL456" s="2">
        <f>L456*AK456</f>
        <v/>
      </c>
      <c r="AM456" s="2" t="n"/>
      <c r="AO456" s="3">
        <f>'_Настройки'!$B$5</f>
        <v/>
      </c>
      <c r="AP456" s="2">
        <f>IF(K456&gt;0;K456*AO456;0)</f>
        <v/>
      </c>
      <c r="AQ456" s="2">
        <f>L456-K456-AI456-AE456-IF(AM456&gt;0;AM456;'_Настройки'!$B$9)-AP456-AC456</f>
        <v/>
      </c>
      <c r="AR456" s="3">
        <f>IF(L456&gt;0;AQ456/L456;"")</f>
        <v/>
      </c>
      <c r="AS456" s="3">
        <f>IF(K456&gt;0;AQ456/K456;"")</f>
        <v/>
      </c>
      <c r="AT456" s="2">
        <f>L456-K456-AL456-AE456-IF(AM456&gt;0;AM456;'_Настройки'!$B$9)-AP456-AC456</f>
        <v/>
      </c>
      <c r="AU456" s="3">
        <f>IF(L456&gt;0;AT456/L456;"")</f>
        <v/>
      </c>
      <c r="AV456" s="3">
        <f>IF(K456&gt;0;AT456/K456;"")</f>
        <v/>
      </c>
    </row>
    <row r="457">
      <c r="A457">
        <f>ROW()-1</f>
        <v/>
      </c>
      <c r="K457" s="2">
        <f>IFERROR(INDEX('_Цены_закупки'!$B:$B;MATCH(C457;'_Цены_закупки'!$A:$A;0));"")</f>
        <v/>
      </c>
      <c r="L457" s="2" t="n"/>
      <c r="M457" s="2" t="n"/>
      <c r="N457" s="3">
        <f>IF(AND(M457&gt;0;L457&gt;0);1-L457/M457;"")</f>
        <v/>
      </c>
      <c r="O457" s="2">
        <f>IF(OR(Q457="";K457=0);"";(K457+IF(AM457&gt;0;AM457;'_Настройки'!$B$9)+AP457+AC457+Q457*K457)/(1-AH457-AD457))</f>
        <v/>
      </c>
      <c r="P457" s="2">
        <f>IF(O457="";"";O457-K457-O457*AH457-O457*AD457-IF(AM457&gt;0;AM457;'_Настройки'!$B$9)-AP457-AC457)</f>
        <v/>
      </c>
      <c r="Q457" s="3">
        <f>IF(AND(O457&gt;0;K457&gt;0);P457/K457;"")</f>
        <v/>
      </c>
      <c r="R457" s="2">
        <f>IF(O457="";"";O457-K457-O457*AK457-O457*AD457-IF(AM457&gt;0;AM457;'_Настройки'!$B$9)-AP457-AC457)</f>
        <v/>
      </c>
      <c r="S457" s="3">
        <f>IF(AND(O457&gt;0;K457&gt;0);R457/K457;"")</f>
        <v/>
      </c>
      <c r="T457" s="2" t="n"/>
      <c r="U457" s="3">
        <f>IF(AND(L457&gt;0;T457&gt;0);1-T457/L457;"")</f>
        <v/>
      </c>
      <c r="V457" s="3">
        <f>'_Настройки'!$B$4</f>
        <v/>
      </c>
      <c r="Z457" s="4">
        <f>IF(AND(W457&gt;0;X457&gt;0;Y457&gt;0);W457*X457*Y457/1000;"")</f>
        <v/>
      </c>
      <c r="AB457" s="2">
        <f>('_Настройки'!$B$6+MAX(0;Z457-1)*'_Настройки'!$B$7)*IF(AA457&gt;0;AA457;'_Настройки'!$B$10)</f>
        <v/>
      </c>
      <c r="AC457" s="2">
        <f>AB457*(1+'_Настройки'!$B$8)</f>
        <v/>
      </c>
      <c r="AD457" s="3">
        <f>'_Настройки'!$B$2</f>
        <v/>
      </c>
      <c r="AE457" s="2">
        <f>L457*AD457</f>
        <v/>
      </c>
      <c r="AF457" s="3">
        <f>'_Настройки'!$B$3</f>
        <v/>
      </c>
      <c r="AG457" s="3">
        <f>IFERROR(INDEX('_Комиссия_ВБ'!$B:$B;MATCH(C457;'_Комиссия_ВБ'!$A:$A;0));0,245)</f>
        <v/>
      </c>
      <c r="AH457" s="3">
        <f>AG457+AF457</f>
        <v/>
      </c>
      <c r="AI457" s="2">
        <f>L457*AH457</f>
        <v/>
      </c>
      <c r="AJ457" s="3">
        <f>IFERROR(INDEX('_Комиссия_ВБ'!$C:$C;MATCH(C457;'_Комиссия_ВБ'!$A:$A;0));0,28)</f>
        <v/>
      </c>
      <c r="AK457" s="3">
        <f>AJ457+AF457</f>
        <v/>
      </c>
      <c r="AL457" s="2">
        <f>L457*AK457</f>
        <v/>
      </c>
      <c r="AM457" s="2" t="n"/>
      <c r="AO457" s="3">
        <f>'_Настройки'!$B$5</f>
        <v/>
      </c>
      <c r="AP457" s="2">
        <f>IF(K457&gt;0;K457*AO457;0)</f>
        <v/>
      </c>
      <c r="AQ457" s="2">
        <f>L457-K457-AI457-AE457-IF(AM457&gt;0;AM457;'_Настройки'!$B$9)-AP457-AC457</f>
        <v/>
      </c>
      <c r="AR457" s="3">
        <f>IF(L457&gt;0;AQ457/L457;"")</f>
        <v/>
      </c>
      <c r="AS457" s="3">
        <f>IF(K457&gt;0;AQ457/K457;"")</f>
        <v/>
      </c>
      <c r="AT457" s="2">
        <f>L457-K457-AL457-AE457-IF(AM457&gt;0;AM457;'_Настройки'!$B$9)-AP457-AC457</f>
        <v/>
      </c>
      <c r="AU457" s="3">
        <f>IF(L457&gt;0;AT457/L457;"")</f>
        <v/>
      </c>
      <c r="AV457" s="3">
        <f>IF(K457&gt;0;AT457/K457;"")</f>
        <v/>
      </c>
    </row>
    <row r="458">
      <c r="A458">
        <f>ROW()-1</f>
        <v/>
      </c>
      <c r="K458" s="2">
        <f>IFERROR(INDEX('_Цены_закупки'!$B:$B;MATCH(C458;'_Цены_закупки'!$A:$A;0));"")</f>
        <v/>
      </c>
      <c r="L458" s="2" t="n"/>
      <c r="M458" s="2" t="n"/>
      <c r="N458" s="3">
        <f>IF(AND(M458&gt;0;L458&gt;0);1-L458/M458;"")</f>
        <v/>
      </c>
      <c r="O458" s="2">
        <f>IF(OR(Q458="";K458=0);"";(K458+IF(AM458&gt;0;AM458;'_Настройки'!$B$9)+AP458+AC458+Q458*K458)/(1-AH458-AD458))</f>
        <v/>
      </c>
      <c r="P458" s="2">
        <f>IF(O458="";"";O458-K458-O458*AH458-O458*AD458-IF(AM458&gt;0;AM458;'_Настройки'!$B$9)-AP458-AC458)</f>
        <v/>
      </c>
      <c r="Q458" s="3">
        <f>IF(AND(O458&gt;0;K458&gt;0);P458/K458;"")</f>
        <v/>
      </c>
      <c r="R458" s="2">
        <f>IF(O458="";"";O458-K458-O458*AK458-O458*AD458-IF(AM458&gt;0;AM458;'_Настройки'!$B$9)-AP458-AC458)</f>
        <v/>
      </c>
      <c r="S458" s="3">
        <f>IF(AND(O458&gt;0;K458&gt;0);R458/K458;"")</f>
        <v/>
      </c>
      <c r="T458" s="2" t="n"/>
      <c r="U458" s="3">
        <f>IF(AND(L458&gt;0;T458&gt;0);1-T458/L458;"")</f>
        <v/>
      </c>
      <c r="V458" s="3">
        <f>'_Настройки'!$B$4</f>
        <v/>
      </c>
      <c r="Z458" s="4">
        <f>IF(AND(W458&gt;0;X458&gt;0;Y458&gt;0);W458*X458*Y458/1000;"")</f>
        <v/>
      </c>
      <c r="AB458" s="2">
        <f>('_Настройки'!$B$6+MAX(0;Z458-1)*'_Настройки'!$B$7)*IF(AA458&gt;0;AA458;'_Настройки'!$B$10)</f>
        <v/>
      </c>
      <c r="AC458" s="2">
        <f>AB458*(1+'_Настройки'!$B$8)</f>
        <v/>
      </c>
      <c r="AD458" s="3">
        <f>'_Настройки'!$B$2</f>
        <v/>
      </c>
      <c r="AE458" s="2">
        <f>L458*AD458</f>
        <v/>
      </c>
      <c r="AF458" s="3">
        <f>'_Настройки'!$B$3</f>
        <v/>
      </c>
      <c r="AG458" s="3">
        <f>IFERROR(INDEX('_Комиссия_ВБ'!$B:$B;MATCH(C458;'_Комиссия_ВБ'!$A:$A;0));0,245)</f>
        <v/>
      </c>
      <c r="AH458" s="3">
        <f>AG458+AF458</f>
        <v/>
      </c>
      <c r="AI458" s="2">
        <f>L458*AH458</f>
        <v/>
      </c>
      <c r="AJ458" s="3">
        <f>IFERROR(INDEX('_Комиссия_ВБ'!$C:$C;MATCH(C458;'_Комиссия_ВБ'!$A:$A;0));0,28)</f>
        <v/>
      </c>
      <c r="AK458" s="3">
        <f>AJ458+AF458</f>
        <v/>
      </c>
      <c r="AL458" s="2">
        <f>L458*AK458</f>
        <v/>
      </c>
      <c r="AM458" s="2" t="n"/>
      <c r="AO458" s="3">
        <f>'_Настройки'!$B$5</f>
        <v/>
      </c>
      <c r="AP458" s="2">
        <f>IF(K458&gt;0;K458*AO458;0)</f>
        <v/>
      </c>
      <c r="AQ458" s="2">
        <f>L458-K458-AI458-AE458-IF(AM458&gt;0;AM458;'_Настройки'!$B$9)-AP458-AC458</f>
        <v/>
      </c>
      <c r="AR458" s="3">
        <f>IF(L458&gt;0;AQ458/L458;"")</f>
        <v/>
      </c>
      <c r="AS458" s="3">
        <f>IF(K458&gt;0;AQ458/K458;"")</f>
        <v/>
      </c>
      <c r="AT458" s="2">
        <f>L458-K458-AL458-AE458-IF(AM458&gt;0;AM458;'_Настройки'!$B$9)-AP458-AC458</f>
        <v/>
      </c>
      <c r="AU458" s="3">
        <f>IF(L458&gt;0;AT458/L458;"")</f>
        <v/>
      </c>
      <c r="AV458" s="3">
        <f>IF(K458&gt;0;AT458/K458;"")</f>
        <v/>
      </c>
    </row>
    <row r="459">
      <c r="A459">
        <f>ROW()-1</f>
        <v/>
      </c>
      <c r="K459" s="2">
        <f>IFERROR(INDEX('_Цены_закупки'!$B:$B;MATCH(C459;'_Цены_закупки'!$A:$A;0));"")</f>
        <v/>
      </c>
      <c r="L459" s="2" t="n"/>
      <c r="M459" s="2" t="n"/>
      <c r="N459" s="3">
        <f>IF(AND(M459&gt;0;L459&gt;0);1-L459/M459;"")</f>
        <v/>
      </c>
      <c r="O459" s="2">
        <f>IF(OR(Q459="";K459=0);"";(K459+IF(AM459&gt;0;AM459;'_Настройки'!$B$9)+AP459+AC459+Q459*K459)/(1-AH459-AD459))</f>
        <v/>
      </c>
      <c r="P459" s="2">
        <f>IF(O459="";"";O459-K459-O459*AH459-O459*AD459-IF(AM459&gt;0;AM459;'_Настройки'!$B$9)-AP459-AC459)</f>
        <v/>
      </c>
      <c r="Q459" s="3">
        <f>IF(AND(O459&gt;0;K459&gt;0);P459/K459;"")</f>
        <v/>
      </c>
      <c r="R459" s="2">
        <f>IF(O459="";"";O459-K459-O459*AK459-O459*AD459-IF(AM459&gt;0;AM459;'_Настройки'!$B$9)-AP459-AC459)</f>
        <v/>
      </c>
      <c r="S459" s="3">
        <f>IF(AND(O459&gt;0;K459&gt;0);R459/K459;"")</f>
        <v/>
      </c>
      <c r="T459" s="2" t="n"/>
      <c r="U459" s="3">
        <f>IF(AND(L459&gt;0;T459&gt;0);1-T459/L459;"")</f>
        <v/>
      </c>
      <c r="V459" s="3">
        <f>'_Настройки'!$B$4</f>
        <v/>
      </c>
      <c r="Z459" s="4">
        <f>IF(AND(W459&gt;0;X459&gt;0;Y459&gt;0);W459*X459*Y459/1000;"")</f>
        <v/>
      </c>
      <c r="AB459" s="2">
        <f>('_Настройки'!$B$6+MAX(0;Z459-1)*'_Настройки'!$B$7)*IF(AA459&gt;0;AA459;'_Настройки'!$B$10)</f>
        <v/>
      </c>
      <c r="AC459" s="2">
        <f>AB459*(1+'_Настройки'!$B$8)</f>
        <v/>
      </c>
      <c r="AD459" s="3">
        <f>'_Настройки'!$B$2</f>
        <v/>
      </c>
      <c r="AE459" s="2">
        <f>L459*AD459</f>
        <v/>
      </c>
      <c r="AF459" s="3">
        <f>'_Настройки'!$B$3</f>
        <v/>
      </c>
      <c r="AG459" s="3">
        <f>IFERROR(INDEX('_Комиссия_ВБ'!$B:$B;MATCH(C459;'_Комиссия_ВБ'!$A:$A;0));0,245)</f>
        <v/>
      </c>
      <c r="AH459" s="3">
        <f>AG459+AF459</f>
        <v/>
      </c>
      <c r="AI459" s="2">
        <f>L459*AH459</f>
        <v/>
      </c>
      <c r="AJ459" s="3">
        <f>IFERROR(INDEX('_Комиссия_ВБ'!$C:$C;MATCH(C459;'_Комиссия_ВБ'!$A:$A;0));0,28)</f>
        <v/>
      </c>
      <c r="AK459" s="3">
        <f>AJ459+AF459</f>
        <v/>
      </c>
      <c r="AL459" s="2">
        <f>L459*AK459</f>
        <v/>
      </c>
      <c r="AM459" s="2" t="n"/>
      <c r="AO459" s="3">
        <f>'_Настройки'!$B$5</f>
        <v/>
      </c>
      <c r="AP459" s="2">
        <f>IF(K459&gt;0;K459*AO459;0)</f>
        <v/>
      </c>
      <c r="AQ459" s="2">
        <f>L459-K459-AI459-AE459-IF(AM459&gt;0;AM459;'_Настройки'!$B$9)-AP459-AC459</f>
        <v/>
      </c>
      <c r="AR459" s="3">
        <f>IF(L459&gt;0;AQ459/L459;"")</f>
        <v/>
      </c>
      <c r="AS459" s="3">
        <f>IF(K459&gt;0;AQ459/K459;"")</f>
        <v/>
      </c>
      <c r="AT459" s="2">
        <f>L459-K459-AL459-AE459-IF(AM459&gt;0;AM459;'_Настройки'!$B$9)-AP459-AC459</f>
        <v/>
      </c>
      <c r="AU459" s="3">
        <f>IF(L459&gt;0;AT459/L459;"")</f>
        <v/>
      </c>
      <c r="AV459" s="3">
        <f>IF(K459&gt;0;AT459/K459;"")</f>
        <v/>
      </c>
    </row>
    <row r="460">
      <c r="A460">
        <f>ROW()-1</f>
        <v/>
      </c>
      <c r="K460" s="2">
        <f>IFERROR(INDEX('_Цены_закупки'!$B:$B;MATCH(C460;'_Цены_закупки'!$A:$A;0));"")</f>
        <v/>
      </c>
      <c r="L460" s="2" t="n"/>
      <c r="M460" s="2" t="n"/>
      <c r="N460" s="3">
        <f>IF(AND(M460&gt;0;L460&gt;0);1-L460/M460;"")</f>
        <v/>
      </c>
      <c r="O460" s="2">
        <f>IF(OR(Q460="";K460=0);"";(K460+IF(AM460&gt;0;AM460;'_Настройки'!$B$9)+AP460+AC460+Q460*K460)/(1-AH460-AD460))</f>
        <v/>
      </c>
      <c r="P460" s="2">
        <f>IF(O460="";"";O460-K460-O460*AH460-O460*AD460-IF(AM460&gt;0;AM460;'_Настройки'!$B$9)-AP460-AC460)</f>
        <v/>
      </c>
      <c r="Q460" s="3">
        <f>IF(AND(O460&gt;0;K460&gt;0);P460/K460;"")</f>
        <v/>
      </c>
      <c r="R460" s="2">
        <f>IF(O460="";"";O460-K460-O460*AK460-O460*AD460-IF(AM460&gt;0;AM460;'_Настройки'!$B$9)-AP460-AC460)</f>
        <v/>
      </c>
      <c r="S460" s="3">
        <f>IF(AND(O460&gt;0;K460&gt;0);R460/K460;"")</f>
        <v/>
      </c>
      <c r="T460" s="2" t="n"/>
      <c r="U460" s="3">
        <f>IF(AND(L460&gt;0;T460&gt;0);1-T460/L460;"")</f>
        <v/>
      </c>
      <c r="V460" s="3">
        <f>'_Настройки'!$B$4</f>
        <v/>
      </c>
      <c r="Z460" s="4">
        <f>IF(AND(W460&gt;0;X460&gt;0;Y460&gt;0);W460*X460*Y460/1000;"")</f>
        <v/>
      </c>
      <c r="AB460" s="2">
        <f>('_Настройки'!$B$6+MAX(0;Z460-1)*'_Настройки'!$B$7)*IF(AA460&gt;0;AA460;'_Настройки'!$B$10)</f>
        <v/>
      </c>
      <c r="AC460" s="2">
        <f>AB460*(1+'_Настройки'!$B$8)</f>
        <v/>
      </c>
      <c r="AD460" s="3">
        <f>'_Настройки'!$B$2</f>
        <v/>
      </c>
      <c r="AE460" s="2">
        <f>L460*AD460</f>
        <v/>
      </c>
      <c r="AF460" s="3">
        <f>'_Настройки'!$B$3</f>
        <v/>
      </c>
      <c r="AG460" s="3">
        <f>IFERROR(INDEX('_Комиссия_ВБ'!$B:$B;MATCH(C460;'_Комиссия_ВБ'!$A:$A;0));0,245)</f>
        <v/>
      </c>
      <c r="AH460" s="3">
        <f>AG460+AF460</f>
        <v/>
      </c>
      <c r="AI460" s="2">
        <f>L460*AH460</f>
        <v/>
      </c>
      <c r="AJ460" s="3">
        <f>IFERROR(INDEX('_Комиссия_ВБ'!$C:$C;MATCH(C460;'_Комиссия_ВБ'!$A:$A;0));0,28)</f>
        <v/>
      </c>
      <c r="AK460" s="3">
        <f>AJ460+AF460</f>
        <v/>
      </c>
      <c r="AL460" s="2">
        <f>L460*AK460</f>
        <v/>
      </c>
      <c r="AM460" s="2" t="n"/>
      <c r="AO460" s="3">
        <f>'_Настройки'!$B$5</f>
        <v/>
      </c>
      <c r="AP460" s="2">
        <f>IF(K460&gt;0;K460*AO460;0)</f>
        <v/>
      </c>
      <c r="AQ460" s="2">
        <f>L460-K460-AI460-AE460-IF(AM460&gt;0;AM460;'_Настройки'!$B$9)-AP460-AC460</f>
        <v/>
      </c>
      <c r="AR460" s="3">
        <f>IF(L460&gt;0;AQ460/L460;"")</f>
        <v/>
      </c>
      <c r="AS460" s="3">
        <f>IF(K460&gt;0;AQ460/K460;"")</f>
        <v/>
      </c>
      <c r="AT460" s="2">
        <f>L460-K460-AL460-AE460-IF(AM460&gt;0;AM460;'_Настройки'!$B$9)-AP460-AC460</f>
        <v/>
      </c>
      <c r="AU460" s="3">
        <f>IF(L460&gt;0;AT460/L460;"")</f>
        <v/>
      </c>
      <c r="AV460" s="3">
        <f>IF(K460&gt;0;AT460/K460;"")</f>
        <v/>
      </c>
    </row>
    <row r="461">
      <c r="A461">
        <f>ROW()-1</f>
        <v/>
      </c>
      <c r="K461" s="2">
        <f>IFERROR(INDEX('_Цены_закупки'!$B:$B;MATCH(C461;'_Цены_закупки'!$A:$A;0));"")</f>
        <v/>
      </c>
      <c r="L461" s="2" t="n"/>
      <c r="M461" s="2" t="n"/>
      <c r="N461" s="3">
        <f>IF(AND(M461&gt;0;L461&gt;0);1-L461/M461;"")</f>
        <v/>
      </c>
      <c r="O461" s="2">
        <f>IF(OR(Q461="";K461=0);"";(K461+IF(AM461&gt;0;AM461;'_Настройки'!$B$9)+AP461+AC461+Q461*K461)/(1-AH461-AD461))</f>
        <v/>
      </c>
      <c r="P461" s="2">
        <f>IF(O461="";"";O461-K461-O461*AH461-O461*AD461-IF(AM461&gt;0;AM461;'_Настройки'!$B$9)-AP461-AC461)</f>
        <v/>
      </c>
      <c r="Q461" s="3">
        <f>IF(AND(O461&gt;0;K461&gt;0);P461/K461;"")</f>
        <v/>
      </c>
      <c r="R461" s="2">
        <f>IF(O461="";"";O461-K461-O461*AK461-O461*AD461-IF(AM461&gt;0;AM461;'_Настройки'!$B$9)-AP461-AC461)</f>
        <v/>
      </c>
      <c r="S461" s="3">
        <f>IF(AND(O461&gt;0;K461&gt;0);R461/K461;"")</f>
        <v/>
      </c>
      <c r="T461" s="2" t="n"/>
      <c r="U461" s="3">
        <f>IF(AND(L461&gt;0;T461&gt;0);1-T461/L461;"")</f>
        <v/>
      </c>
      <c r="V461" s="3">
        <f>'_Настройки'!$B$4</f>
        <v/>
      </c>
      <c r="Z461" s="4">
        <f>IF(AND(W461&gt;0;X461&gt;0;Y461&gt;0);W461*X461*Y461/1000;"")</f>
        <v/>
      </c>
      <c r="AB461" s="2">
        <f>('_Настройки'!$B$6+MAX(0;Z461-1)*'_Настройки'!$B$7)*IF(AA461&gt;0;AA461;'_Настройки'!$B$10)</f>
        <v/>
      </c>
      <c r="AC461" s="2">
        <f>AB461*(1+'_Настройки'!$B$8)</f>
        <v/>
      </c>
      <c r="AD461" s="3">
        <f>'_Настройки'!$B$2</f>
        <v/>
      </c>
      <c r="AE461" s="2">
        <f>L461*AD461</f>
        <v/>
      </c>
      <c r="AF461" s="3">
        <f>'_Настройки'!$B$3</f>
        <v/>
      </c>
      <c r="AG461" s="3">
        <f>IFERROR(INDEX('_Комиссия_ВБ'!$B:$B;MATCH(C461;'_Комиссия_ВБ'!$A:$A;0));0,245)</f>
        <v/>
      </c>
      <c r="AH461" s="3">
        <f>AG461+AF461</f>
        <v/>
      </c>
      <c r="AI461" s="2">
        <f>L461*AH461</f>
        <v/>
      </c>
      <c r="AJ461" s="3">
        <f>IFERROR(INDEX('_Комиссия_ВБ'!$C:$C;MATCH(C461;'_Комиссия_ВБ'!$A:$A;0));0,28)</f>
        <v/>
      </c>
      <c r="AK461" s="3">
        <f>AJ461+AF461</f>
        <v/>
      </c>
      <c r="AL461" s="2">
        <f>L461*AK461</f>
        <v/>
      </c>
      <c r="AM461" s="2" t="n"/>
      <c r="AO461" s="3">
        <f>'_Настройки'!$B$5</f>
        <v/>
      </c>
      <c r="AP461" s="2">
        <f>IF(K461&gt;0;K461*AO461;0)</f>
        <v/>
      </c>
      <c r="AQ461" s="2">
        <f>L461-K461-AI461-AE461-IF(AM461&gt;0;AM461;'_Настройки'!$B$9)-AP461-AC461</f>
        <v/>
      </c>
      <c r="AR461" s="3">
        <f>IF(L461&gt;0;AQ461/L461;"")</f>
        <v/>
      </c>
      <c r="AS461" s="3">
        <f>IF(K461&gt;0;AQ461/K461;"")</f>
        <v/>
      </c>
      <c r="AT461" s="2">
        <f>L461-K461-AL461-AE461-IF(AM461&gt;0;AM461;'_Настройки'!$B$9)-AP461-AC461</f>
        <v/>
      </c>
      <c r="AU461" s="3">
        <f>IF(L461&gt;0;AT461/L461;"")</f>
        <v/>
      </c>
      <c r="AV461" s="3">
        <f>IF(K461&gt;0;AT461/K461;"")</f>
        <v/>
      </c>
    </row>
    <row r="462">
      <c r="A462">
        <f>ROW()-1</f>
        <v/>
      </c>
      <c r="K462" s="2">
        <f>IFERROR(INDEX('_Цены_закупки'!$B:$B;MATCH(C462;'_Цены_закупки'!$A:$A;0));"")</f>
        <v/>
      </c>
      <c r="L462" s="2" t="n"/>
      <c r="M462" s="2" t="n"/>
      <c r="N462" s="3">
        <f>IF(AND(M462&gt;0;L462&gt;0);1-L462/M462;"")</f>
        <v/>
      </c>
      <c r="O462" s="2">
        <f>IF(OR(Q462="";K462=0);"";(K462+IF(AM462&gt;0;AM462;'_Настройки'!$B$9)+AP462+AC462+Q462*K462)/(1-AH462-AD462))</f>
        <v/>
      </c>
      <c r="P462" s="2">
        <f>IF(O462="";"";O462-K462-O462*AH462-O462*AD462-IF(AM462&gt;0;AM462;'_Настройки'!$B$9)-AP462-AC462)</f>
        <v/>
      </c>
      <c r="Q462" s="3">
        <f>IF(AND(O462&gt;0;K462&gt;0);P462/K462;"")</f>
        <v/>
      </c>
      <c r="R462" s="2">
        <f>IF(O462="";"";O462-K462-O462*AK462-O462*AD462-IF(AM462&gt;0;AM462;'_Настройки'!$B$9)-AP462-AC462)</f>
        <v/>
      </c>
      <c r="S462" s="3">
        <f>IF(AND(O462&gt;0;K462&gt;0);R462/K462;"")</f>
        <v/>
      </c>
      <c r="T462" s="2" t="n"/>
      <c r="U462" s="3">
        <f>IF(AND(L462&gt;0;T462&gt;0);1-T462/L462;"")</f>
        <v/>
      </c>
      <c r="V462" s="3">
        <f>'_Настройки'!$B$4</f>
        <v/>
      </c>
      <c r="Z462" s="4">
        <f>IF(AND(W462&gt;0;X462&gt;0;Y462&gt;0);W462*X462*Y462/1000;"")</f>
        <v/>
      </c>
      <c r="AB462" s="2">
        <f>('_Настройки'!$B$6+MAX(0;Z462-1)*'_Настройки'!$B$7)*IF(AA462&gt;0;AA462;'_Настройки'!$B$10)</f>
        <v/>
      </c>
      <c r="AC462" s="2">
        <f>AB462*(1+'_Настройки'!$B$8)</f>
        <v/>
      </c>
      <c r="AD462" s="3">
        <f>'_Настройки'!$B$2</f>
        <v/>
      </c>
      <c r="AE462" s="2">
        <f>L462*AD462</f>
        <v/>
      </c>
      <c r="AF462" s="3">
        <f>'_Настройки'!$B$3</f>
        <v/>
      </c>
      <c r="AG462" s="3">
        <f>IFERROR(INDEX('_Комиссия_ВБ'!$B:$B;MATCH(C462;'_Комиссия_ВБ'!$A:$A;0));0,245)</f>
        <v/>
      </c>
      <c r="AH462" s="3">
        <f>AG462+AF462</f>
        <v/>
      </c>
      <c r="AI462" s="2">
        <f>L462*AH462</f>
        <v/>
      </c>
      <c r="AJ462" s="3">
        <f>IFERROR(INDEX('_Комиссия_ВБ'!$C:$C;MATCH(C462;'_Комиссия_ВБ'!$A:$A;0));0,28)</f>
        <v/>
      </c>
      <c r="AK462" s="3">
        <f>AJ462+AF462</f>
        <v/>
      </c>
      <c r="AL462" s="2">
        <f>L462*AK462</f>
        <v/>
      </c>
      <c r="AM462" s="2" t="n"/>
      <c r="AO462" s="3">
        <f>'_Настройки'!$B$5</f>
        <v/>
      </c>
      <c r="AP462" s="2">
        <f>IF(K462&gt;0;K462*AO462;0)</f>
        <v/>
      </c>
      <c r="AQ462" s="2">
        <f>L462-K462-AI462-AE462-IF(AM462&gt;0;AM462;'_Настройки'!$B$9)-AP462-AC462</f>
        <v/>
      </c>
      <c r="AR462" s="3">
        <f>IF(L462&gt;0;AQ462/L462;"")</f>
        <v/>
      </c>
      <c r="AS462" s="3">
        <f>IF(K462&gt;0;AQ462/K462;"")</f>
        <v/>
      </c>
      <c r="AT462" s="2">
        <f>L462-K462-AL462-AE462-IF(AM462&gt;0;AM462;'_Настройки'!$B$9)-AP462-AC462</f>
        <v/>
      </c>
      <c r="AU462" s="3">
        <f>IF(L462&gt;0;AT462/L462;"")</f>
        <v/>
      </c>
      <c r="AV462" s="3">
        <f>IF(K462&gt;0;AT462/K462;"")</f>
        <v/>
      </c>
    </row>
    <row r="463">
      <c r="A463">
        <f>ROW()-1</f>
        <v/>
      </c>
      <c r="K463" s="2">
        <f>IFERROR(INDEX('_Цены_закупки'!$B:$B;MATCH(C463;'_Цены_закупки'!$A:$A;0));"")</f>
        <v/>
      </c>
      <c r="L463" s="2" t="n"/>
      <c r="M463" s="2" t="n"/>
      <c r="N463" s="3">
        <f>IF(AND(M463&gt;0;L463&gt;0);1-L463/M463;"")</f>
        <v/>
      </c>
      <c r="O463" s="2">
        <f>IF(OR(Q463="";K463=0);"";(K463+IF(AM463&gt;0;AM463;'_Настройки'!$B$9)+AP463+AC463+Q463*K463)/(1-AH463-AD463))</f>
        <v/>
      </c>
      <c r="P463" s="2">
        <f>IF(O463="";"";O463-K463-O463*AH463-O463*AD463-IF(AM463&gt;0;AM463;'_Настройки'!$B$9)-AP463-AC463)</f>
        <v/>
      </c>
      <c r="Q463" s="3">
        <f>IF(AND(O463&gt;0;K463&gt;0);P463/K463;"")</f>
        <v/>
      </c>
      <c r="R463" s="2">
        <f>IF(O463="";"";O463-K463-O463*AK463-O463*AD463-IF(AM463&gt;0;AM463;'_Настройки'!$B$9)-AP463-AC463)</f>
        <v/>
      </c>
      <c r="S463" s="3">
        <f>IF(AND(O463&gt;0;K463&gt;0);R463/K463;"")</f>
        <v/>
      </c>
      <c r="T463" s="2" t="n"/>
      <c r="U463" s="3">
        <f>IF(AND(L463&gt;0;T463&gt;0);1-T463/L463;"")</f>
        <v/>
      </c>
      <c r="V463" s="3">
        <f>'_Настройки'!$B$4</f>
        <v/>
      </c>
      <c r="Z463" s="4">
        <f>IF(AND(W463&gt;0;X463&gt;0;Y463&gt;0);W463*X463*Y463/1000;"")</f>
        <v/>
      </c>
      <c r="AB463" s="2">
        <f>('_Настройки'!$B$6+MAX(0;Z463-1)*'_Настройки'!$B$7)*IF(AA463&gt;0;AA463;'_Настройки'!$B$10)</f>
        <v/>
      </c>
      <c r="AC463" s="2">
        <f>AB463*(1+'_Настройки'!$B$8)</f>
        <v/>
      </c>
      <c r="AD463" s="3">
        <f>'_Настройки'!$B$2</f>
        <v/>
      </c>
      <c r="AE463" s="2">
        <f>L463*AD463</f>
        <v/>
      </c>
      <c r="AF463" s="3">
        <f>'_Настройки'!$B$3</f>
        <v/>
      </c>
      <c r="AG463" s="3">
        <f>IFERROR(INDEX('_Комиссия_ВБ'!$B:$B;MATCH(C463;'_Комиссия_ВБ'!$A:$A;0));0,245)</f>
        <v/>
      </c>
      <c r="AH463" s="3">
        <f>AG463+AF463</f>
        <v/>
      </c>
      <c r="AI463" s="2">
        <f>L463*AH463</f>
        <v/>
      </c>
      <c r="AJ463" s="3">
        <f>IFERROR(INDEX('_Комиссия_ВБ'!$C:$C;MATCH(C463;'_Комиссия_ВБ'!$A:$A;0));0,28)</f>
        <v/>
      </c>
      <c r="AK463" s="3">
        <f>AJ463+AF463</f>
        <v/>
      </c>
      <c r="AL463" s="2">
        <f>L463*AK463</f>
        <v/>
      </c>
      <c r="AM463" s="2" t="n"/>
      <c r="AO463" s="3">
        <f>'_Настройки'!$B$5</f>
        <v/>
      </c>
      <c r="AP463" s="2">
        <f>IF(K463&gt;0;K463*AO463;0)</f>
        <v/>
      </c>
      <c r="AQ463" s="2">
        <f>L463-K463-AI463-AE463-IF(AM463&gt;0;AM463;'_Настройки'!$B$9)-AP463-AC463</f>
        <v/>
      </c>
      <c r="AR463" s="3">
        <f>IF(L463&gt;0;AQ463/L463;"")</f>
        <v/>
      </c>
      <c r="AS463" s="3">
        <f>IF(K463&gt;0;AQ463/K463;"")</f>
        <v/>
      </c>
      <c r="AT463" s="2">
        <f>L463-K463-AL463-AE463-IF(AM463&gt;0;AM463;'_Настройки'!$B$9)-AP463-AC463</f>
        <v/>
      </c>
      <c r="AU463" s="3">
        <f>IF(L463&gt;0;AT463/L463;"")</f>
        <v/>
      </c>
      <c r="AV463" s="3">
        <f>IF(K463&gt;0;AT463/K463;"")</f>
        <v/>
      </c>
    </row>
    <row r="464">
      <c r="A464">
        <f>ROW()-1</f>
        <v/>
      </c>
      <c r="K464" s="2">
        <f>IFERROR(INDEX('_Цены_закупки'!$B:$B;MATCH(C464;'_Цены_закупки'!$A:$A;0));"")</f>
        <v/>
      </c>
      <c r="L464" s="2" t="n"/>
      <c r="M464" s="2" t="n"/>
      <c r="N464" s="3">
        <f>IF(AND(M464&gt;0;L464&gt;0);1-L464/M464;"")</f>
        <v/>
      </c>
      <c r="O464" s="2">
        <f>IF(OR(Q464="";K464=0);"";(K464+IF(AM464&gt;0;AM464;'_Настройки'!$B$9)+AP464+AC464+Q464*K464)/(1-AH464-AD464))</f>
        <v/>
      </c>
      <c r="P464" s="2">
        <f>IF(O464="";"";O464-K464-O464*AH464-O464*AD464-IF(AM464&gt;0;AM464;'_Настройки'!$B$9)-AP464-AC464)</f>
        <v/>
      </c>
      <c r="Q464" s="3">
        <f>IF(AND(O464&gt;0;K464&gt;0);P464/K464;"")</f>
        <v/>
      </c>
      <c r="R464" s="2">
        <f>IF(O464="";"";O464-K464-O464*AK464-O464*AD464-IF(AM464&gt;0;AM464;'_Настройки'!$B$9)-AP464-AC464)</f>
        <v/>
      </c>
      <c r="S464" s="3">
        <f>IF(AND(O464&gt;0;K464&gt;0);R464/K464;"")</f>
        <v/>
      </c>
      <c r="T464" s="2" t="n"/>
      <c r="U464" s="3">
        <f>IF(AND(L464&gt;0;T464&gt;0);1-T464/L464;"")</f>
        <v/>
      </c>
      <c r="V464" s="3">
        <f>'_Настройки'!$B$4</f>
        <v/>
      </c>
      <c r="Z464" s="4">
        <f>IF(AND(W464&gt;0;X464&gt;0;Y464&gt;0);W464*X464*Y464/1000;"")</f>
        <v/>
      </c>
      <c r="AB464" s="2">
        <f>('_Настройки'!$B$6+MAX(0;Z464-1)*'_Настройки'!$B$7)*IF(AA464&gt;0;AA464;'_Настройки'!$B$10)</f>
        <v/>
      </c>
      <c r="AC464" s="2">
        <f>AB464*(1+'_Настройки'!$B$8)</f>
        <v/>
      </c>
      <c r="AD464" s="3">
        <f>'_Настройки'!$B$2</f>
        <v/>
      </c>
      <c r="AE464" s="2">
        <f>L464*AD464</f>
        <v/>
      </c>
      <c r="AF464" s="3">
        <f>'_Настройки'!$B$3</f>
        <v/>
      </c>
      <c r="AG464" s="3">
        <f>IFERROR(INDEX('_Комиссия_ВБ'!$B:$B;MATCH(C464;'_Комиссия_ВБ'!$A:$A;0));0,245)</f>
        <v/>
      </c>
      <c r="AH464" s="3">
        <f>AG464+AF464</f>
        <v/>
      </c>
      <c r="AI464" s="2">
        <f>L464*AH464</f>
        <v/>
      </c>
      <c r="AJ464" s="3">
        <f>IFERROR(INDEX('_Комиссия_ВБ'!$C:$C;MATCH(C464;'_Комиссия_ВБ'!$A:$A;0));0,28)</f>
        <v/>
      </c>
      <c r="AK464" s="3">
        <f>AJ464+AF464</f>
        <v/>
      </c>
      <c r="AL464" s="2">
        <f>L464*AK464</f>
        <v/>
      </c>
      <c r="AM464" s="2" t="n"/>
      <c r="AO464" s="3">
        <f>'_Настройки'!$B$5</f>
        <v/>
      </c>
      <c r="AP464" s="2">
        <f>IF(K464&gt;0;K464*AO464;0)</f>
        <v/>
      </c>
      <c r="AQ464" s="2">
        <f>L464-K464-AI464-AE464-IF(AM464&gt;0;AM464;'_Настройки'!$B$9)-AP464-AC464</f>
        <v/>
      </c>
      <c r="AR464" s="3">
        <f>IF(L464&gt;0;AQ464/L464;"")</f>
        <v/>
      </c>
      <c r="AS464" s="3">
        <f>IF(K464&gt;0;AQ464/K464;"")</f>
        <v/>
      </c>
      <c r="AT464" s="2">
        <f>L464-K464-AL464-AE464-IF(AM464&gt;0;AM464;'_Настройки'!$B$9)-AP464-AC464</f>
        <v/>
      </c>
      <c r="AU464" s="3">
        <f>IF(L464&gt;0;AT464/L464;"")</f>
        <v/>
      </c>
      <c r="AV464" s="3">
        <f>IF(K464&gt;0;AT464/K464;"")</f>
        <v/>
      </c>
    </row>
    <row r="465">
      <c r="A465">
        <f>ROW()-1</f>
        <v/>
      </c>
      <c r="K465" s="2">
        <f>IFERROR(INDEX('_Цены_закупки'!$B:$B;MATCH(C465;'_Цены_закупки'!$A:$A;0));"")</f>
        <v/>
      </c>
      <c r="L465" s="2" t="n"/>
      <c r="M465" s="2" t="n"/>
      <c r="N465" s="3">
        <f>IF(AND(M465&gt;0;L465&gt;0);1-L465/M465;"")</f>
        <v/>
      </c>
      <c r="O465" s="2">
        <f>IF(OR(Q465="";K465=0);"";(K465+IF(AM465&gt;0;AM465;'_Настройки'!$B$9)+AP465+AC465+Q465*K465)/(1-AH465-AD465))</f>
        <v/>
      </c>
      <c r="P465" s="2">
        <f>IF(O465="";"";O465-K465-O465*AH465-O465*AD465-IF(AM465&gt;0;AM465;'_Настройки'!$B$9)-AP465-AC465)</f>
        <v/>
      </c>
      <c r="Q465" s="3">
        <f>IF(AND(O465&gt;0;K465&gt;0);P465/K465;"")</f>
        <v/>
      </c>
      <c r="R465" s="2">
        <f>IF(O465="";"";O465-K465-O465*AK465-O465*AD465-IF(AM465&gt;0;AM465;'_Настройки'!$B$9)-AP465-AC465)</f>
        <v/>
      </c>
      <c r="S465" s="3">
        <f>IF(AND(O465&gt;0;K465&gt;0);R465/K465;"")</f>
        <v/>
      </c>
      <c r="T465" s="2" t="n"/>
      <c r="U465" s="3">
        <f>IF(AND(L465&gt;0;T465&gt;0);1-T465/L465;"")</f>
        <v/>
      </c>
      <c r="V465" s="3">
        <f>'_Настройки'!$B$4</f>
        <v/>
      </c>
      <c r="Z465" s="4">
        <f>IF(AND(W465&gt;0;X465&gt;0;Y465&gt;0);W465*X465*Y465/1000;"")</f>
        <v/>
      </c>
      <c r="AB465" s="2">
        <f>('_Настройки'!$B$6+MAX(0;Z465-1)*'_Настройки'!$B$7)*IF(AA465&gt;0;AA465;'_Настройки'!$B$10)</f>
        <v/>
      </c>
      <c r="AC465" s="2">
        <f>AB465*(1+'_Настройки'!$B$8)</f>
        <v/>
      </c>
      <c r="AD465" s="3">
        <f>'_Настройки'!$B$2</f>
        <v/>
      </c>
      <c r="AE465" s="2">
        <f>L465*AD465</f>
        <v/>
      </c>
      <c r="AF465" s="3">
        <f>'_Настройки'!$B$3</f>
        <v/>
      </c>
      <c r="AG465" s="3">
        <f>IFERROR(INDEX('_Комиссия_ВБ'!$B:$B;MATCH(C465;'_Комиссия_ВБ'!$A:$A;0));0,245)</f>
        <v/>
      </c>
      <c r="AH465" s="3">
        <f>AG465+AF465</f>
        <v/>
      </c>
      <c r="AI465" s="2">
        <f>L465*AH465</f>
        <v/>
      </c>
      <c r="AJ465" s="3">
        <f>IFERROR(INDEX('_Комиссия_ВБ'!$C:$C;MATCH(C465;'_Комиссия_ВБ'!$A:$A;0));0,28)</f>
        <v/>
      </c>
      <c r="AK465" s="3">
        <f>AJ465+AF465</f>
        <v/>
      </c>
      <c r="AL465" s="2">
        <f>L465*AK465</f>
        <v/>
      </c>
      <c r="AM465" s="2" t="n"/>
      <c r="AO465" s="3">
        <f>'_Настройки'!$B$5</f>
        <v/>
      </c>
      <c r="AP465" s="2">
        <f>IF(K465&gt;0;K465*AO465;0)</f>
        <v/>
      </c>
      <c r="AQ465" s="2">
        <f>L465-K465-AI465-AE465-IF(AM465&gt;0;AM465;'_Настройки'!$B$9)-AP465-AC465</f>
        <v/>
      </c>
      <c r="AR465" s="3">
        <f>IF(L465&gt;0;AQ465/L465;"")</f>
        <v/>
      </c>
      <c r="AS465" s="3">
        <f>IF(K465&gt;0;AQ465/K465;"")</f>
        <v/>
      </c>
      <c r="AT465" s="2">
        <f>L465-K465-AL465-AE465-IF(AM465&gt;0;AM465;'_Настройки'!$B$9)-AP465-AC465</f>
        <v/>
      </c>
      <c r="AU465" s="3">
        <f>IF(L465&gt;0;AT465/L465;"")</f>
        <v/>
      </c>
      <c r="AV465" s="3">
        <f>IF(K465&gt;0;AT465/K465;"")</f>
        <v/>
      </c>
    </row>
    <row r="466">
      <c r="A466">
        <f>ROW()-1</f>
        <v/>
      </c>
      <c r="K466" s="2">
        <f>IFERROR(INDEX('_Цены_закупки'!$B:$B;MATCH(C466;'_Цены_закупки'!$A:$A;0));"")</f>
        <v/>
      </c>
      <c r="L466" s="2" t="n"/>
      <c r="M466" s="2" t="n"/>
      <c r="N466" s="3">
        <f>IF(AND(M466&gt;0;L466&gt;0);1-L466/M466;"")</f>
        <v/>
      </c>
      <c r="O466" s="2">
        <f>IF(OR(Q466="";K466=0);"";(K466+IF(AM466&gt;0;AM466;'_Настройки'!$B$9)+AP466+AC466+Q466*K466)/(1-AH466-AD466))</f>
        <v/>
      </c>
      <c r="P466" s="2">
        <f>IF(O466="";"";O466-K466-O466*AH466-O466*AD466-IF(AM466&gt;0;AM466;'_Настройки'!$B$9)-AP466-AC466)</f>
        <v/>
      </c>
      <c r="Q466" s="3">
        <f>IF(AND(O466&gt;0;K466&gt;0);P466/K466;"")</f>
        <v/>
      </c>
      <c r="R466" s="2">
        <f>IF(O466="";"";O466-K466-O466*AK466-O466*AD466-IF(AM466&gt;0;AM466;'_Настройки'!$B$9)-AP466-AC466)</f>
        <v/>
      </c>
      <c r="S466" s="3">
        <f>IF(AND(O466&gt;0;K466&gt;0);R466/K466;"")</f>
        <v/>
      </c>
      <c r="T466" s="2" t="n"/>
      <c r="U466" s="3">
        <f>IF(AND(L466&gt;0;T466&gt;0);1-T466/L466;"")</f>
        <v/>
      </c>
      <c r="V466" s="3">
        <f>'_Настройки'!$B$4</f>
        <v/>
      </c>
      <c r="Z466" s="4">
        <f>IF(AND(W466&gt;0;X466&gt;0;Y466&gt;0);W466*X466*Y466/1000;"")</f>
        <v/>
      </c>
      <c r="AB466" s="2">
        <f>('_Настройки'!$B$6+MAX(0;Z466-1)*'_Настройки'!$B$7)*IF(AA466&gt;0;AA466;'_Настройки'!$B$10)</f>
        <v/>
      </c>
      <c r="AC466" s="2">
        <f>AB466*(1+'_Настройки'!$B$8)</f>
        <v/>
      </c>
      <c r="AD466" s="3">
        <f>'_Настройки'!$B$2</f>
        <v/>
      </c>
      <c r="AE466" s="2">
        <f>L466*AD466</f>
        <v/>
      </c>
      <c r="AF466" s="3">
        <f>'_Настройки'!$B$3</f>
        <v/>
      </c>
      <c r="AG466" s="3">
        <f>IFERROR(INDEX('_Комиссия_ВБ'!$B:$B;MATCH(C466;'_Комиссия_ВБ'!$A:$A;0));0,245)</f>
        <v/>
      </c>
      <c r="AH466" s="3">
        <f>AG466+AF466</f>
        <v/>
      </c>
      <c r="AI466" s="2">
        <f>L466*AH466</f>
        <v/>
      </c>
      <c r="AJ466" s="3">
        <f>IFERROR(INDEX('_Комиссия_ВБ'!$C:$C;MATCH(C466;'_Комиссия_ВБ'!$A:$A;0));0,28)</f>
        <v/>
      </c>
      <c r="AK466" s="3">
        <f>AJ466+AF466</f>
        <v/>
      </c>
      <c r="AL466" s="2">
        <f>L466*AK466</f>
        <v/>
      </c>
      <c r="AM466" s="2" t="n"/>
      <c r="AO466" s="3">
        <f>'_Настройки'!$B$5</f>
        <v/>
      </c>
      <c r="AP466" s="2">
        <f>IF(K466&gt;0;K466*AO466;0)</f>
        <v/>
      </c>
      <c r="AQ466" s="2">
        <f>L466-K466-AI466-AE466-IF(AM466&gt;0;AM466;'_Настройки'!$B$9)-AP466-AC466</f>
        <v/>
      </c>
      <c r="AR466" s="3">
        <f>IF(L466&gt;0;AQ466/L466;"")</f>
        <v/>
      </c>
      <c r="AS466" s="3">
        <f>IF(K466&gt;0;AQ466/K466;"")</f>
        <v/>
      </c>
      <c r="AT466" s="2">
        <f>L466-K466-AL466-AE466-IF(AM466&gt;0;AM466;'_Настройки'!$B$9)-AP466-AC466</f>
        <v/>
      </c>
      <c r="AU466" s="3">
        <f>IF(L466&gt;0;AT466/L466;"")</f>
        <v/>
      </c>
      <c r="AV466" s="3">
        <f>IF(K466&gt;0;AT466/K466;"")</f>
        <v/>
      </c>
    </row>
    <row r="467">
      <c r="A467">
        <f>ROW()-1</f>
        <v/>
      </c>
      <c r="K467" s="2">
        <f>IFERROR(INDEX('_Цены_закупки'!$B:$B;MATCH(C467;'_Цены_закупки'!$A:$A;0));"")</f>
        <v/>
      </c>
      <c r="L467" s="2" t="n"/>
      <c r="M467" s="2" t="n"/>
      <c r="N467" s="3">
        <f>IF(AND(M467&gt;0;L467&gt;0);1-L467/M467;"")</f>
        <v/>
      </c>
      <c r="O467" s="2">
        <f>IF(OR(Q467="";K467=0);"";(K467+IF(AM467&gt;0;AM467;'_Настройки'!$B$9)+AP467+AC467+Q467*K467)/(1-AH467-AD467))</f>
        <v/>
      </c>
      <c r="P467" s="2">
        <f>IF(O467="";"";O467-K467-O467*AH467-O467*AD467-IF(AM467&gt;0;AM467;'_Настройки'!$B$9)-AP467-AC467)</f>
        <v/>
      </c>
      <c r="Q467" s="3">
        <f>IF(AND(O467&gt;0;K467&gt;0);P467/K467;"")</f>
        <v/>
      </c>
      <c r="R467" s="2">
        <f>IF(O467="";"";O467-K467-O467*AK467-O467*AD467-IF(AM467&gt;0;AM467;'_Настройки'!$B$9)-AP467-AC467)</f>
        <v/>
      </c>
      <c r="S467" s="3">
        <f>IF(AND(O467&gt;0;K467&gt;0);R467/K467;"")</f>
        <v/>
      </c>
      <c r="T467" s="2" t="n"/>
      <c r="U467" s="3">
        <f>IF(AND(L467&gt;0;T467&gt;0);1-T467/L467;"")</f>
        <v/>
      </c>
      <c r="V467" s="3">
        <f>'_Настройки'!$B$4</f>
        <v/>
      </c>
      <c r="Z467" s="4">
        <f>IF(AND(W467&gt;0;X467&gt;0;Y467&gt;0);W467*X467*Y467/1000;"")</f>
        <v/>
      </c>
      <c r="AB467" s="2">
        <f>('_Настройки'!$B$6+MAX(0;Z467-1)*'_Настройки'!$B$7)*IF(AA467&gt;0;AA467;'_Настройки'!$B$10)</f>
        <v/>
      </c>
      <c r="AC467" s="2">
        <f>AB467*(1+'_Настройки'!$B$8)</f>
        <v/>
      </c>
      <c r="AD467" s="3">
        <f>'_Настройки'!$B$2</f>
        <v/>
      </c>
      <c r="AE467" s="2">
        <f>L467*AD467</f>
        <v/>
      </c>
      <c r="AF467" s="3">
        <f>'_Настройки'!$B$3</f>
        <v/>
      </c>
      <c r="AG467" s="3">
        <f>IFERROR(INDEX('_Комиссия_ВБ'!$B:$B;MATCH(C467;'_Комиссия_ВБ'!$A:$A;0));0,245)</f>
        <v/>
      </c>
      <c r="AH467" s="3">
        <f>AG467+AF467</f>
        <v/>
      </c>
      <c r="AI467" s="2">
        <f>L467*AH467</f>
        <v/>
      </c>
      <c r="AJ467" s="3">
        <f>IFERROR(INDEX('_Комиссия_ВБ'!$C:$C;MATCH(C467;'_Комиссия_ВБ'!$A:$A;0));0,28)</f>
        <v/>
      </c>
      <c r="AK467" s="3">
        <f>AJ467+AF467</f>
        <v/>
      </c>
      <c r="AL467" s="2">
        <f>L467*AK467</f>
        <v/>
      </c>
      <c r="AM467" s="2" t="n"/>
      <c r="AO467" s="3">
        <f>'_Настройки'!$B$5</f>
        <v/>
      </c>
      <c r="AP467" s="2">
        <f>IF(K467&gt;0;K467*AO467;0)</f>
        <v/>
      </c>
      <c r="AQ467" s="2">
        <f>L467-K467-AI467-AE467-IF(AM467&gt;0;AM467;'_Настройки'!$B$9)-AP467-AC467</f>
        <v/>
      </c>
      <c r="AR467" s="3">
        <f>IF(L467&gt;0;AQ467/L467;"")</f>
        <v/>
      </c>
      <c r="AS467" s="3">
        <f>IF(K467&gt;0;AQ467/K467;"")</f>
        <v/>
      </c>
      <c r="AT467" s="2">
        <f>L467-K467-AL467-AE467-IF(AM467&gt;0;AM467;'_Настройки'!$B$9)-AP467-AC467</f>
        <v/>
      </c>
      <c r="AU467" s="3">
        <f>IF(L467&gt;0;AT467/L467;"")</f>
        <v/>
      </c>
      <c r="AV467" s="3">
        <f>IF(K467&gt;0;AT467/K467;"")</f>
        <v/>
      </c>
    </row>
    <row r="468">
      <c r="A468">
        <f>ROW()-1</f>
        <v/>
      </c>
      <c r="K468" s="2">
        <f>IFERROR(INDEX('_Цены_закупки'!$B:$B;MATCH(C468;'_Цены_закупки'!$A:$A;0));"")</f>
        <v/>
      </c>
      <c r="L468" s="2" t="n"/>
      <c r="M468" s="2" t="n"/>
      <c r="N468" s="3">
        <f>IF(AND(M468&gt;0;L468&gt;0);1-L468/M468;"")</f>
        <v/>
      </c>
      <c r="O468" s="2">
        <f>IF(OR(Q468="";K468=0);"";(K468+IF(AM468&gt;0;AM468;'_Настройки'!$B$9)+AP468+AC468+Q468*K468)/(1-AH468-AD468))</f>
        <v/>
      </c>
      <c r="P468" s="2">
        <f>IF(O468="";"";O468-K468-O468*AH468-O468*AD468-IF(AM468&gt;0;AM468;'_Настройки'!$B$9)-AP468-AC468)</f>
        <v/>
      </c>
      <c r="Q468" s="3">
        <f>IF(AND(O468&gt;0;K468&gt;0);P468/K468;"")</f>
        <v/>
      </c>
      <c r="R468" s="2">
        <f>IF(O468="";"";O468-K468-O468*AK468-O468*AD468-IF(AM468&gt;0;AM468;'_Настройки'!$B$9)-AP468-AC468)</f>
        <v/>
      </c>
      <c r="S468" s="3">
        <f>IF(AND(O468&gt;0;K468&gt;0);R468/K468;"")</f>
        <v/>
      </c>
      <c r="T468" s="2" t="n"/>
      <c r="U468" s="3">
        <f>IF(AND(L468&gt;0;T468&gt;0);1-T468/L468;"")</f>
        <v/>
      </c>
      <c r="V468" s="3">
        <f>'_Настройки'!$B$4</f>
        <v/>
      </c>
      <c r="Z468" s="4">
        <f>IF(AND(W468&gt;0;X468&gt;0;Y468&gt;0);W468*X468*Y468/1000;"")</f>
        <v/>
      </c>
      <c r="AB468" s="2">
        <f>('_Настройки'!$B$6+MAX(0;Z468-1)*'_Настройки'!$B$7)*IF(AA468&gt;0;AA468;'_Настройки'!$B$10)</f>
        <v/>
      </c>
      <c r="AC468" s="2">
        <f>AB468*(1+'_Настройки'!$B$8)</f>
        <v/>
      </c>
      <c r="AD468" s="3">
        <f>'_Настройки'!$B$2</f>
        <v/>
      </c>
      <c r="AE468" s="2">
        <f>L468*AD468</f>
        <v/>
      </c>
      <c r="AF468" s="3">
        <f>'_Настройки'!$B$3</f>
        <v/>
      </c>
      <c r="AG468" s="3">
        <f>IFERROR(INDEX('_Комиссия_ВБ'!$B:$B;MATCH(C468;'_Комиссия_ВБ'!$A:$A;0));0,245)</f>
        <v/>
      </c>
      <c r="AH468" s="3">
        <f>AG468+AF468</f>
        <v/>
      </c>
      <c r="AI468" s="2">
        <f>L468*AH468</f>
        <v/>
      </c>
      <c r="AJ468" s="3">
        <f>IFERROR(INDEX('_Комиссия_ВБ'!$C:$C;MATCH(C468;'_Комиссия_ВБ'!$A:$A;0));0,28)</f>
        <v/>
      </c>
      <c r="AK468" s="3">
        <f>AJ468+AF468</f>
        <v/>
      </c>
      <c r="AL468" s="2">
        <f>L468*AK468</f>
        <v/>
      </c>
      <c r="AM468" s="2" t="n"/>
      <c r="AO468" s="3">
        <f>'_Настройки'!$B$5</f>
        <v/>
      </c>
      <c r="AP468" s="2">
        <f>IF(K468&gt;0;K468*AO468;0)</f>
        <v/>
      </c>
      <c r="AQ468" s="2">
        <f>L468-K468-AI468-AE468-IF(AM468&gt;0;AM468;'_Настройки'!$B$9)-AP468-AC468</f>
        <v/>
      </c>
      <c r="AR468" s="3">
        <f>IF(L468&gt;0;AQ468/L468;"")</f>
        <v/>
      </c>
      <c r="AS468" s="3">
        <f>IF(K468&gt;0;AQ468/K468;"")</f>
        <v/>
      </c>
      <c r="AT468" s="2">
        <f>L468-K468-AL468-AE468-IF(AM468&gt;0;AM468;'_Настройки'!$B$9)-AP468-AC468</f>
        <v/>
      </c>
      <c r="AU468" s="3">
        <f>IF(L468&gt;0;AT468/L468;"")</f>
        <v/>
      </c>
      <c r="AV468" s="3">
        <f>IF(K468&gt;0;AT468/K468;"")</f>
        <v/>
      </c>
    </row>
    <row r="469">
      <c r="A469">
        <f>ROW()-1</f>
        <v/>
      </c>
      <c r="K469" s="2">
        <f>IFERROR(INDEX('_Цены_закупки'!$B:$B;MATCH(C469;'_Цены_закупки'!$A:$A;0));"")</f>
        <v/>
      </c>
      <c r="L469" s="2" t="n"/>
      <c r="M469" s="2" t="n"/>
      <c r="N469" s="3">
        <f>IF(AND(M469&gt;0;L469&gt;0);1-L469/M469;"")</f>
        <v/>
      </c>
      <c r="O469" s="2">
        <f>IF(OR(Q469="";K469=0);"";(K469+IF(AM469&gt;0;AM469;'_Настройки'!$B$9)+AP469+AC469+Q469*K469)/(1-AH469-AD469))</f>
        <v/>
      </c>
      <c r="P469" s="2">
        <f>IF(O469="";"";O469-K469-O469*AH469-O469*AD469-IF(AM469&gt;0;AM469;'_Настройки'!$B$9)-AP469-AC469)</f>
        <v/>
      </c>
      <c r="Q469" s="3">
        <f>IF(AND(O469&gt;0;K469&gt;0);P469/K469;"")</f>
        <v/>
      </c>
      <c r="R469" s="2">
        <f>IF(O469="";"";O469-K469-O469*AK469-O469*AD469-IF(AM469&gt;0;AM469;'_Настройки'!$B$9)-AP469-AC469)</f>
        <v/>
      </c>
      <c r="S469" s="3">
        <f>IF(AND(O469&gt;0;K469&gt;0);R469/K469;"")</f>
        <v/>
      </c>
      <c r="T469" s="2" t="n"/>
      <c r="U469" s="3">
        <f>IF(AND(L469&gt;0;T469&gt;0);1-T469/L469;"")</f>
        <v/>
      </c>
      <c r="V469" s="3">
        <f>'_Настройки'!$B$4</f>
        <v/>
      </c>
      <c r="Z469" s="4">
        <f>IF(AND(W469&gt;0;X469&gt;0;Y469&gt;0);W469*X469*Y469/1000;"")</f>
        <v/>
      </c>
      <c r="AB469" s="2">
        <f>('_Настройки'!$B$6+MAX(0;Z469-1)*'_Настройки'!$B$7)*IF(AA469&gt;0;AA469;'_Настройки'!$B$10)</f>
        <v/>
      </c>
      <c r="AC469" s="2">
        <f>AB469*(1+'_Настройки'!$B$8)</f>
        <v/>
      </c>
      <c r="AD469" s="3">
        <f>'_Настройки'!$B$2</f>
        <v/>
      </c>
      <c r="AE469" s="2">
        <f>L469*AD469</f>
        <v/>
      </c>
      <c r="AF469" s="3">
        <f>'_Настройки'!$B$3</f>
        <v/>
      </c>
      <c r="AG469" s="3">
        <f>IFERROR(INDEX('_Комиссия_ВБ'!$B:$B;MATCH(C469;'_Комиссия_ВБ'!$A:$A;0));0,245)</f>
        <v/>
      </c>
      <c r="AH469" s="3">
        <f>AG469+AF469</f>
        <v/>
      </c>
      <c r="AI469" s="2">
        <f>L469*AH469</f>
        <v/>
      </c>
      <c r="AJ469" s="3">
        <f>IFERROR(INDEX('_Комиссия_ВБ'!$C:$C;MATCH(C469;'_Комиссия_ВБ'!$A:$A;0));0,28)</f>
        <v/>
      </c>
      <c r="AK469" s="3">
        <f>AJ469+AF469</f>
        <v/>
      </c>
      <c r="AL469" s="2">
        <f>L469*AK469</f>
        <v/>
      </c>
      <c r="AM469" s="2" t="n"/>
      <c r="AO469" s="3">
        <f>'_Настройки'!$B$5</f>
        <v/>
      </c>
      <c r="AP469" s="2">
        <f>IF(K469&gt;0;K469*AO469;0)</f>
        <v/>
      </c>
      <c r="AQ469" s="2">
        <f>L469-K469-AI469-AE469-IF(AM469&gt;0;AM469;'_Настройки'!$B$9)-AP469-AC469</f>
        <v/>
      </c>
      <c r="AR469" s="3">
        <f>IF(L469&gt;0;AQ469/L469;"")</f>
        <v/>
      </c>
      <c r="AS469" s="3">
        <f>IF(K469&gt;0;AQ469/K469;"")</f>
        <v/>
      </c>
      <c r="AT469" s="2">
        <f>L469-K469-AL469-AE469-IF(AM469&gt;0;AM469;'_Настройки'!$B$9)-AP469-AC469</f>
        <v/>
      </c>
      <c r="AU469" s="3">
        <f>IF(L469&gt;0;AT469/L469;"")</f>
        <v/>
      </c>
      <c r="AV469" s="3">
        <f>IF(K469&gt;0;AT469/K469;"")</f>
        <v/>
      </c>
    </row>
    <row r="470">
      <c r="A470">
        <f>ROW()-1</f>
        <v/>
      </c>
      <c r="K470" s="2">
        <f>IFERROR(INDEX('_Цены_закупки'!$B:$B;MATCH(C470;'_Цены_закупки'!$A:$A;0));"")</f>
        <v/>
      </c>
      <c r="L470" s="2" t="n"/>
      <c r="M470" s="2" t="n"/>
      <c r="N470" s="3">
        <f>IF(AND(M470&gt;0;L470&gt;0);1-L470/M470;"")</f>
        <v/>
      </c>
      <c r="O470" s="2">
        <f>IF(OR(Q470="";K470=0);"";(K470+IF(AM470&gt;0;AM470;'_Настройки'!$B$9)+AP470+AC470+Q470*K470)/(1-AH470-AD470))</f>
        <v/>
      </c>
      <c r="P470" s="2">
        <f>IF(O470="";"";O470-K470-O470*AH470-O470*AD470-IF(AM470&gt;0;AM470;'_Настройки'!$B$9)-AP470-AC470)</f>
        <v/>
      </c>
      <c r="Q470" s="3">
        <f>IF(AND(O470&gt;0;K470&gt;0);P470/K470;"")</f>
        <v/>
      </c>
      <c r="R470" s="2">
        <f>IF(O470="";"";O470-K470-O470*AK470-O470*AD470-IF(AM470&gt;0;AM470;'_Настройки'!$B$9)-AP470-AC470)</f>
        <v/>
      </c>
      <c r="S470" s="3">
        <f>IF(AND(O470&gt;0;K470&gt;0);R470/K470;"")</f>
        <v/>
      </c>
      <c r="T470" s="2" t="n"/>
      <c r="U470" s="3">
        <f>IF(AND(L470&gt;0;T470&gt;0);1-T470/L470;"")</f>
        <v/>
      </c>
      <c r="V470" s="3">
        <f>'_Настройки'!$B$4</f>
        <v/>
      </c>
      <c r="Z470" s="4">
        <f>IF(AND(W470&gt;0;X470&gt;0;Y470&gt;0);W470*X470*Y470/1000;"")</f>
        <v/>
      </c>
      <c r="AB470" s="2">
        <f>('_Настройки'!$B$6+MAX(0;Z470-1)*'_Настройки'!$B$7)*IF(AA470&gt;0;AA470;'_Настройки'!$B$10)</f>
        <v/>
      </c>
      <c r="AC470" s="2">
        <f>AB470*(1+'_Настройки'!$B$8)</f>
        <v/>
      </c>
      <c r="AD470" s="3">
        <f>'_Настройки'!$B$2</f>
        <v/>
      </c>
      <c r="AE470" s="2">
        <f>L470*AD470</f>
        <v/>
      </c>
      <c r="AF470" s="3">
        <f>'_Настройки'!$B$3</f>
        <v/>
      </c>
      <c r="AG470" s="3">
        <f>IFERROR(INDEX('_Комиссия_ВБ'!$B:$B;MATCH(C470;'_Комиссия_ВБ'!$A:$A;0));0,245)</f>
        <v/>
      </c>
      <c r="AH470" s="3">
        <f>AG470+AF470</f>
        <v/>
      </c>
      <c r="AI470" s="2">
        <f>L470*AH470</f>
        <v/>
      </c>
      <c r="AJ470" s="3">
        <f>IFERROR(INDEX('_Комиссия_ВБ'!$C:$C;MATCH(C470;'_Комиссия_ВБ'!$A:$A;0));0,28)</f>
        <v/>
      </c>
      <c r="AK470" s="3">
        <f>AJ470+AF470</f>
        <v/>
      </c>
      <c r="AL470" s="2">
        <f>L470*AK470</f>
        <v/>
      </c>
      <c r="AM470" s="2" t="n"/>
      <c r="AO470" s="3">
        <f>'_Настройки'!$B$5</f>
        <v/>
      </c>
      <c r="AP470" s="2">
        <f>IF(K470&gt;0;K470*AO470;0)</f>
        <v/>
      </c>
      <c r="AQ470" s="2">
        <f>L470-K470-AI470-AE470-IF(AM470&gt;0;AM470;'_Настройки'!$B$9)-AP470-AC470</f>
        <v/>
      </c>
      <c r="AR470" s="3">
        <f>IF(L470&gt;0;AQ470/L470;"")</f>
        <v/>
      </c>
      <c r="AS470" s="3">
        <f>IF(K470&gt;0;AQ470/K470;"")</f>
        <v/>
      </c>
      <c r="AT470" s="2">
        <f>L470-K470-AL470-AE470-IF(AM470&gt;0;AM470;'_Настройки'!$B$9)-AP470-AC470</f>
        <v/>
      </c>
      <c r="AU470" s="3">
        <f>IF(L470&gt;0;AT470/L470;"")</f>
        <v/>
      </c>
      <c r="AV470" s="3">
        <f>IF(K470&gt;0;AT470/K470;"")</f>
        <v/>
      </c>
    </row>
    <row r="471">
      <c r="A471">
        <f>ROW()-1</f>
        <v/>
      </c>
      <c r="K471" s="2">
        <f>IFERROR(INDEX('_Цены_закупки'!$B:$B;MATCH(C471;'_Цены_закупки'!$A:$A;0));"")</f>
        <v/>
      </c>
      <c r="L471" s="2" t="n"/>
      <c r="M471" s="2" t="n"/>
      <c r="N471" s="3">
        <f>IF(AND(M471&gt;0;L471&gt;0);1-L471/M471;"")</f>
        <v/>
      </c>
      <c r="O471" s="2">
        <f>IF(OR(Q471="";K471=0);"";(K471+IF(AM471&gt;0;AM471;'_Настройки'!$B$9)+AP471+AC471+Q471*K471)/(1-AH471-AD471))</f>
        <v/>
      </c>
      <c r="P471" s="2">
        <f>IF(O471="";"";O471-K471-O471*AH471-O471*AD471-IF(AM471&gt;0;AM471;'_Настройки'!$B$9)-AP471-AC471)</f>
        <v/>
      </c>
      <c r="Q471" s="3">
        <f>IF(AND(O471&gt;0;K471&gt;0);P471/K471;"")</f>
        <v/>
      </c>
      <c r="R471" s="2">
        <f>IF(O471="";"";O471-K471-O471*AK471-O471*AD471-IF(AM471&gt;0;AM471;'_Настройки'!$B$9)-AP471-AC471)</f>
        <v/>
      </c>
      <c r="S471" s="3">
        <f>IF(AND(O471&gt;0;K471&gt;0);R471/K471;"")</f>
        <v/>
      </c>
      <c r="T471" s="2" t="n"/>
      <c r="U471" s="3">
        <f>IF(AND(L471&gt;0;T471&gt;0);1-T471/L471;"")</f>
        <v/>
      </c>
      <c r="V471" s="3">
        <f>'_Настройки'!$B$4</f>
        <v/>
      </c>
      <c r="Z471" s="4">
        <f>IF(AND(W471&gt;0;X471&gt;0;Y471&gt;0);W471*X471*Y471/1000;"")</f>
        <v/>
      </c>
      <c r="AB471" s="2">
        <f>('_Настройки'!$B$6+MAX(0;Z471-1)*'_Настройки'!$B$7)*IF(AA471&gt;0;AA471;'_Настройки'!$B$10)</f>
        <v/>
      </c>
      <c r="AC471" s="2">
        <f>AB471*(1+'_Настройки'!$B$8)</f>
        <v/>
      </c>
      <c r="AD471" s="3">
        <f>'_Настройки'!$B$2</f>
        <v/>
      </c>
      <c r="AE471" s="2">
        <f>L471*AD471</f>
        <v/>
      </c>
      <c r="AF471" s="3">
        <f>'_Настройки'!$B$3</f>
        <v/>
      </c>
      <c r="AG471" s="3">
        <f>IFERROR(INDEX('_Комиссия_ВБ'!$B:$B;MATCH(C471;'_Комиссия_ВБ'!$A:$A;0));0,245)</f>
        <v/>
      </c>
      <c r="AH471" s="3">
        <f>AG471+AF471</f>
        <v/>
      </c>
      <c r="AI471" s="2">
        <f>L471*AH471</f>
        <v/>
      </c>
      <c r="AJ471" s="3">
        <f>IFERROR(INDEX('_Комиссия_ВБ'!$C:$C;MATCH(C471;'_Комиссия_ВБ'!$A:$A;0));0,28)</f>
        <v/>
      </c>
      <c r="AK471" s="3">
        <f>AJ471+AF471</f>
        <v/>
      </c>
      <c r="AL471" s="2">
        <f>L471*AK471</f>
        <v/>
      </c>
      <c r="AM471" s="2" t="n"/>
      <c r="AO471" s="3">
        <f>'_Настройки'!$B$5</f>
        <v/>
      </c>
      <c r="AP471" s="2">
        <f>IF(K471&gt;0;K471*AO471;0)</f>
        <v/>
      </c>
      <c r="AQ471" s="2">
        <f>L471-K471-AI471-AE471-IF(AM471&gt;0;AM471;'_Настройки'!$B$9)-AP471-AC471</f>
        <v/>
      </c>
      <c r="AR471" s="3">
        <f>IF(L471&gt;0;AQ471/L471;"")</f>
        <v/>
      </c>
      <c r="AS471" s="3">
        <f>IF(K471&gt;0;AQ471/K471;"")</f>
        <v/>
      </c>
      <c r="AT471" s="2">
        <f>L471-K471-AL471-AE471-IF(AM471&gt;0;AM471;'_Настройки'!$B$9)-AP471-AC471</f>
        <v/>
      </c>
      <c r="AU471" s="3">
        <f>IF(L471&gt;0;AT471/L471;"")</f>
        <v/>
      </c>
      <c r="AV471" s="3">
        <f>IF(K471&gt;0;AT471/K471;"")</f>
        <v/>
      </c>
    </row>
    <row r="472">
      <c r="A472">
        <f>ROW()-1</f>
        <v/>
      </c>
      <c r="K472" s="2">
        <f>IFERROR(INDEX('_Цены_закупки'!$B:$B;MATCH(C472;'_Цены_закупки'!$A:$A;0));"")</f>
        <v/>
      </c>
      <c r="L472" s="2" t="n"/>
      <c r="M472" s="2" t="n"/>
      <c r="N472" s="3">
        <f>IF(AND(M472&gt;0;L472&gt;0);1-L472/M472;"")</f>
        <v/>
      </c>
      <c r="O472" s="2">
        <f>IF(OR(Q472="";K472=0);"";(K472+IF(AM472&gt;0;AM472;'_Настройки'!$B$9)+AP472+AC472+Q472*K472)/(1-AH472-AD472))</f>
        <v/>
      </c>
      <c r="P472" s="2">
        <f>IF(O472="";"";O472-K472-O472*AH472-O472*AD472-IF(AM472&gt;0;AM472;'_Настройки'!$B$9)-AP472-AC472)</f>
        <v/>
      </c>
      <c r="Q472" s="3">
        <f>IF(AND(O472&gt;0;K472&gt;0);P472/K472;"")</f>
        <v/>
      </c>
      <c r="R472" s="2">
        <f>IF(O472="";"";O472-K472-O472*AK472-O472*AD472-IF(AM472&gt;0;AM472;'_Настройки'!$B$9)-AP472-AC472)</f>
        <v/>
      </c>
      <c r="S472" s="3">
        <f>IF(AND(O472&gt;0;K472&gt;0);R472/K472;"")</f>
        <v/>
      </c>
      <c r="T472" s="2" t="n"/>
      <c r="U472" s="3">
        <f>IF(AND(L472&gt;0;T472&gt;0);1-T472/L472;"")</f>
        <v/>
      </c>
      <c r="V472" s="3">
        <f>'_Настройки'!$B$4</f>
        <v/>
      </c>
      <c r="Z472" s="4">
        <f>IF(AND(W472&gt;0;X472&gt;0;Y472&gt;0);W472*X472*Y472/1000;"")</f>
        <v/>
      </c>
      <c r="AB472" s="2">
        <f>('_Настройки'!$B$6+MAX(0;Z472-1)*'_Настройки'!$B$7)*IF(AA472&gt;0;AA472;'_Настройки'!$B$10)</f>
        <v/>
      </c>
      <c r="AC472" s="2">
        <f>AB472*(1+'_Настройки'!$B$8)</f>
        <v/>
      </c>
      <c r="AD472" s="3">
        <f>'_Настройки'!$B$2</f>
        <v/>
      </c>
      <c r="AE472" s="2">
        <f>L472*AD472</f>
        <v/>
      </c>
      <c r="AF472" s="3">
        <f>'_Настройки'!$B$3</f>
        <v/>
      </c>
      <c r="AG472" s="3">
        <f>IFERROR(INDEX('_Комиссия_ВБ'!$B:$B;MATCH(C472;'_Комиссия_ВБ'!$A:$A;0));0,245)</f>
        <v/>
      </c>
      <c r="AH472" s="3">
        <f>AG472+AF472</f>
        <v/>
      </c>
      <c r="AI472" s="2">
        <f>L472*AH472</f>
        <v/>
      </c>
      <c r="AJ472" s="3">
        <f>IFERROR(INDEX('_Комиссия_ВБ'!$C:$C;MATCH(C472;'_Комиссия_ВБ'!$A:$A;0));0,28)</f>
        <v/>
      </c>
      <c r="AK472" s="3">
        <f>AJ472+AF472</f>
        <v/>
      </c>
      <c r="AL472" s="2">
        <f>L472*AK472</f>
        <v/>
      </c>
      <c r="AM472" s="2" t="n"/>
      <c r="AO472" s="3">
        <f>'_Настройки'!$B$5</f>
        <v/>
      </c>
      <c r="AP472" s="2">
        <f>IF(K472&gt;0;K472*AO472;0)</f>
        <v/>
      </c>
      <c r="AQ472" s="2">
        <f>L472-K472-AI472-AE472-IF(AM472&gt;0;AM472;'_Настройки'!$B$9)-AP472-AC472</f>
        <v/>
      </c>
      <c r="AR472" s="3">
        <f>IF(L472&gt;0;AQ472/L472;"")</f>
        <v/>
      </c>
      <c r="AS472" s="3">
        <f>IF(K472&gt;0;AQ472/K472;"")</f>
        <v/>
      </c>
      <c r="AT472" s="2">
        <f>L472-K472-AL472-AE472-IF(AM472&gt;0;AM472;'_Настройки'!$B$9)-AP472-AC472</f>
        <v/>
      </c>
      <c r="AU472" s="3">
        <f>IF(L472&gt;0;AT472/L472;"")</f>
        <v/>
      </c>
      <c r="AV472" s="3">
        <f>IF(K472&gt;0;AT472/K472;"")</f>
        <v/>
      </c>
    </row>
    <row r="473">
      <c r="A473">
        <f>ROW()-1</f>
        <v/>
      </c>
      <c r="K473" s="2">
        <f>IFERROR(INDEX('_Цены_закупки'!$B:$B;MATCH(C473;'_Цены_закупки'!$A:$A;0));"")</f>
        <v/>
      </c>
      <c r="L473" s="2" t="n"/>
      <c r="M473" s="2" t="n"/>
      <c r="N473" s="3">
        <f>IF(AND(M473&gt;0;L473&gt;0);1-L473/M473;"")</f>
        <v/>
      </c>
      <c r="O473" s="2">
        <f>IF(OR(Q473="";K473=0);"";(K473+IF(AM473&gt;0;AM473;'_Настройки'!$B$9)+AP473+AC473+Q473*K473)/(1-AH473-AD473))</f>
        <v/>
      </c>
      <c r="P473" s="2">
        <f>IF(O473="";"";O473-K473-O473*AH473-O473*AD473-IF(AM473&gt;0;AM473;'_Настройки'!$B$9)-AP473-AC473)</f>
        <v/>
      </c>
      <c r="Q473" s="3">
        <f>IF(AND(O473&gt;0;K473&gt;0);P473/K473;"")</f>
        <v/>
      </c>
      <c r="R473" s="2">
        <f>IF(O473="";"";O473-K473-O473*AK473-O473*AD473-IF(AM473&gt;0;AM473;'_Настройки'!$B$9)-AP473-AC473)</f>
        <v/>
      </c>
      <c r="S473" s="3">
        <f>IF(AND(O473&gt;0;K473&gt;0);R473/K473;"")</f>
        <v/>
      </c>
      <c r="T473" s="2" t="n"/>
      <c r="U473" s="3">
        <f>IF(AND(L473&gt;0;T473&gt;0);1-T473/L473;"")</f>
        <v/>
      </c>
      <c r="V473" s="3">
        <f>'_Настройки'!$B$4</f>
        <v/>
      </c>
      <c r="Z473" s="4">
        <f>IF(AND(W473&gt;0;X473&gt;0;Y473&gt;0);W473*X473*Y473/1000;"")</f>
        <v/>
      </c>
      <c r="AB473" s="2">
        <f>('_Настройки'!$B$6+MAX(0;Z473-1)*'_Настройки'!$B$7)*IF(AA473&gt;0;AA473;'_Настройки'!$B$10)</f>
        <v/>
      </c>
      <c r="AC473" s="2">
        <f>AB473*(1+'_Настройки'!$B$8)</f>
        <v/>
      </c>
      <c r="AD473" s="3">
        <f>'_Настройки'!$B$2</f>
        <v/>
      </c>
      <c r="AE473" s="2">
        <f>L473*AD473</f>
        <v/>
      </c>
      <c r="AF473" s="3">
        <f>'_Настройки'!$B$3</f>
        <v/>
      </c>
      <c r="AG473" s="3">
        <f>IFERROR(INDEX('_Комиссия_ВБ'!$B:$B;MATCH(C473;'_Комиссия_ВБ'!$A:$A;0));0,245)</f>
        <v/>
      </c>
      <c r="AH473" s="3">
        <f>AG473+AF473</f>
        <v/>
      </c>
      <c r="AI473" s="2">
        <f>L473*AH473</f>
        <v/>
      </c>
      <c r="AJ473" s="3">
        <f>IFERROR(INDEX('_Комиссия_ВБ'!$C:$C;MATCH(C473;'_Комиссия_ВБ'!$A:$A;0));0,28)</f>
        <v/>
      </c>
      <c r="AK473" s="3">
        <f>AJ473+AF473</f>
        <v/>
      </c>
      <c r="AL473" s="2">
        <f>L473*AK473</f>
        <v/>
      </c>
      <c r="AM473" s="2" t="n"/>
      <c r="AO473" s="3">
        <f>'_Настройки'!$B$5</f>
        <v/>
      </c>
      <c r="AP473" s="2">
        <f>IF(K473&gt;0;K473*AO473;0)</f>
        <v/>
      </c>
      <c r="AQ473" s="2">
        <f>L473-K473-AI473-AE473-IF(AM473&gt;0;AM473;'_Настройки'!$B$9)-AP473-AC473</f>
        <v/>
      </c>
      <c r="AR473" s="3">
        <f>IF(L473&gt;0;AQ473/L473;"")</f>
        <v/>
      </c>
      <c r="AS473" s="3">
        <f>IF(K473&gt;0;AQ473/K473;"")</f>
        <v/>
      </c>
      <c r="AT473" s="2">
        <f>L473-K473-AL473-AE473-IF(AM473&gt;0;AM473;'_Настройки'!$B$9)-AP473-AC473</f>
        <v/>
      </c>
      <c r="AU473" s="3">
        <f>IF(L473&gt;0;AT473/L473;"")</f>
        <v/>
      </c>
      <c r="AV473" s="3">
        <f>IF(K473&gt;0;AT473/K473;"")</f>
        <v/>
      </c>
    </row>
    <row r="474">
      <c r="A474">
        <f>ROW()-1</f>
        <v/>
      </c>
      <c r="K474" s="2">
        <f>IFERROR(INDEX('_Цены_закупки'!$B:$B;MATCH(C474;'_Цены_закупки'!$A:$A;0));"")</f>
        <v/>
      </c>
      <c r="L474" s="2" t="n"/>
      <c r="M474" s="2" t="n"/>
      <c r="N474" s="3">
        <f>IF(AND(M474&gt;0;L474&gt;0);1-L474/M474;"")</f>
        <v/>
      </c>
      <c r="O474" s="2">
        <f>IF(OR(Q474="";K474=0);"";(K474+IF(AM474&gt;0;AM474;'_Настройки'!$B$9)+AP474+AC474+Q474*K474)/(1-AH474-AD474))</f>
        <v/>
      </c>
      <c r="P474" s="2">
        <f>IF(O474="";"";O474-K474-O474*AH474-O474*AD474-IF(AM474&gt;0;AM474;'_Настройки'!$B$9)-AP474-AC474)</f>
        <v/>
      </c>
      <c r="Q474" s="3">
        <f>IF(AND(O474&gt;0;K474&gt;0);P474/K474;"")</f>
        <v/>
      </c>
      <c r="R474" s="2">
        <f>IF(O474="";"";O474-K474-O474*AK474-O474*AD474-IF(AM474&gt;0;AM474;'_Настройки'!$B$9)-AP474-AC474)</f>
        <v/>
      </c>
      <c r="S474" s="3">
        <f>IF(AND(O474&gt;0;K474&gt;0);R474/K474;"")</f>
        <v/>
      </c>
      <c r="T474" s="2" t="n"/>
      <c r="U474" s="3">
        <f>IF(AND(L474&gt;0;T474&gt;0);1-T474/L474;"")</f>
        <v/>
      </c>
      <c r="V474" s="3">
        <f>'_Настройки'!$B$4</f>
        <v/>
      </c>
      <c r="Z474" s="4">
        <f>IF(AND(W474&gt;0;X474&gt;0;Y474&gt;0);W474*X474*Y474/1000;"")</f>
        <v/>
      </c>
      <c r="AB474" s="2">
        <f>('_Настройки'!$B$6+MAX(0;Z474-1)*'_Настройки'!$B$7)*IF(AA474&gt;0;AA474;'_Настройки'!$B$10)</f>
        <v/>
      </c>
      <c r="AC474" s="2">
        <f>AB474*(1+'_Настройки'!$B$8)</f>
        <v/>
      </c>
      <c r="AD474" s="3">
        <f>'_Настройки'!$B$2</f>
        <v/>
      </c>
      <c r="AE474" s="2">
        <f>L474*AD474</f>
        <v/>
      </c>
      <c r="AF474" s="3">
        <f>'_Настройки'!$B$3</f>
        <v/>
      </c>
      <c r="AG474" s="3">
        <f>IFERROR(INDEX('_Комиссия_ВБ'!$B:$B;MATCH(C474;'_Комиссия_ВБ'!$A:$A;0));0,245)</f>
        <v/>
      </c>
      <c r="AH474" s="3">
        <f>AG474+AF474</f>
        <v/>
      </c>
      <c r="AI474" s="2">
        <f>L474*AH474</f>
        <v/>
      </c>
      <c r="AJ474" s="3">
        <f>IFERROR(INDEX('_Комиссия_ВБ'!$C:$C;MATCH(C474;'_Комиссия_ВБ'!$A:$A;0));0,28)</f>
        <v/>
      </c>
      <c r="AK474" s="3">
        <f>AJ474+AF474</f>
        <v/>
      </c>
      <c r="AL474" s="2">
        <f>L474*AK474</f>
        <v/>
      </c>
      <c r="AM474" s="2" t="n"/>
      <c r="AO474" s="3">
        <f>'_Настройки'!$B$5</f>
        <v/>
      </c>
      <c r="AP474" s="2">
        <f>IF(K474&gt;0;K474*AO474;0)</f>
        <v/>
      </c>
      <c r="AQ474" s="2">
        <f>L474-K474-AI474-AE474-IF(AM474&gt;0;AM474;'_Настройки'!$B$9)-AP474-AC474</f>
        <v/>
      </c>
      <c r="AR474" s="3">
        <f>IF(L474&gt;0;AQ474/L474;"")</f>
        <v/>
      </c>
      <c r="AS474" s="3">
        <f>IF(K474&gt;0;AQ474/K474;"")</f>
        <v/>
      </c>
      <c r="AT474" s="2">
        <f>L474-K474-AL474-AE474-IF(AM474&gt;0;AM474;'_Настройки'!$B$9)-AP474-AC474</f>
        <v/>
      </c>
      <c r="AU474" s="3">
        <f>IF(L474&gt;0;AT474/L474;"")</f>
        <v/>
      </c>
      <c r="AV474" s="3">
        <f>IF(K474&gt;0;AT474/K474;"")</f>
        <v/>
      </c>
    </row>
    <row r="475">
      <c r="A475">
        <f>ROW()-1</f>
        <v/>
      </c>
      <c r="K475" s="2">
        <f>IFERROR(INDEX('_Цены_закупки'!$B:$B;MATCH(C475;'_Цены_закупки'!$A:$A;0));"")</f>
        <v/>
      </c>
      <c r="L475" s="2" t="n"/>
      <c r="M475" s="2" t="n"/>
      <c r="N475" s="3">
        <f>IF(AND(M475&gt;0;L475&gt;0);1-L475/M475;"")</f>
        <v/>
      </c>
      <c r="O475" s="2">
        <f>IF(OR(Q475="";K475=0);"";(K475+IF(AM475&gt;0;AM475;'_Настройки'!$B$9)+AP475+AC475+Q475*K475)/(1-AH475-AD475))</f>
        <v/>
      </c>
      <c r="P475" s="2">
        <f>IF(O475="";"";O475-K475-O475*AH475-O475*AD475-IF(AM475&gt;0;AM475;'_Настройки'!$B$9)-AP475-AC475)</f>
        <v/>
      </c>
      <c r="Q475" s="3">
        <f>IF(AND(O475&gt;0;K475&gt;0);P475/K475;"")</f>
        <v/>
      </c>
      <c r="R475" s="2">
        <f>IF(O475="";"";O475-K475-O475*AK475-O475*AD475-IF(AM475&gt;0;AM475;'_Настройки'!$B$9)-AP475-AC475)</f>
        <v/>
      </c>
      <c r="S475" s="3">
        <f>IF(AND(O475&gt;0;K475&gt;0);R475/K475;"")</f>
        <v/>
      </c>
      <c r="T475" s="2" t="n"/>
      <c r="U475" s="3">
        <f>IF(AND(L475&gt;0;T475&gt;0);1-T475/L475;"")</f>
        <v/>
      </c>
      <c r="V475" s="3">
        <f>'_Настройки'!$B$4</f>
        <v/>
      </c>
      <c r="Z475" s="4">
        <f>IF(AND(W475&gt;0;X475&gt;0;Y475&gt;0);W475*X475*Y475/1000;"")</f>
        <v/>
      </c>
      <c r="AB475" s="2">
        <f>('_Настройки'!$B$6+MAX(0;Z475-1)*'_Настройки'!$B$7)*IF(AA475&gt;0;AA475;'_Настройки'!$B$10)</f>
        <v/>
      </c>
      <c r="AC475" s="2">
        <f>AB475*(1+'_Настройки'!$B$8)</f>
        <v/>
      </c>
      <c r="AD475" s="3">
        <f>'_Настройки'!$B$2</f>
        <v/>
      </c>
      <c r="AE475" s="2">
        <f>L475*AD475</f>
        <v/>
      </c>
      <c r="AF475" s="3">
        <f>'_Настройки'!$B$3</f>
        <v/>
      </c>
      <c r="AG475" s="3">
        <f>IFERROR(INDEX('_Комиссия_ВБ'!$B:$B;MATCH(C475;'_Комиссия_ВБ'!$A:$A;0));0,245)</f>
        <v/>
      </c>
      <c r="AH475" s="3">
        <f>AG475+AF475</f>
        <v/>
      </c>
      <c r="AI475" s="2">
        <f>L475*AH475</f>
        <v/>
      </c>
      <c r="AJ475" s="3">
        <f>IFERROR(INDEX('_Комиссия_ВБ'!$C:$C;MATCH(C475;'_Комиссия_ВБ'!$A:$A;0));0,28)</f>
        <v/>
      </c>
      <c r="AK475" s="3">
        <f>AJ475+AF475</f>
        <v/>
      </c>
      <c r="AL475" s="2">
        <f>L475*AK475</f>
        <v/>
      </c>
      <c r="AM475" s="2" t="n"/>
      <c r="AO475" s="3">
        <f>'_Настройки'!$B$5</f>
        <v/>
      </c>
      <c r="AP475" s="2">
        <f>IF(K475&gt;0;K475*AO475;0)</f>
        <v/>
      </c>
      <c r="AQ475" s="2">
        <f>L475-K475-AI475-AE475-IF(AM475&gt;0;AM475;'_Настройки'!$B$9)-AP475-AC475</f>
        <v/>
      </c>
      <c r="AR475" s="3">
        <f>IF(L475&gt;0;AQ475/L475;"")</f>
        <v/>
      </c>
      <c r="AS475" s="3">
        <f>IF(K475&gt;0;AQ475/K475;"")</f>
        <v/>
      </c>
      <c r="AT475" s="2">
        <f>L475-K475-AL475-AE475-IF(AM475&gt;0;AM475;'_Настройки'!$B$9)-AP475-AC475</f>
        <v/>
      </c>
      <c r="AU475" s="3">
        <f>IF(L475&gt;0;AT475/L475;"")</f>
        <v/>
      </c>
      <c r="AV475" s="3">
        <f>IF(K475&gt;0;AT475/K475;"")</f>
        <v/>
      </c>
    </row>
    <row r="476">
      <c r="A476">
        <f>ROW()-1</f>
        <v/>
      </c>
      <c r="K476" s="2">
        <f>IFERROR(INDEX('_Цены_закупки'!$B:$B;MATCH(C476;'_Цены_закупки'!$A:$A;0));"")</f>
        <v/>
      </c>
      <c r="L476" s="2" t="n"/>
      <c r="M476" s="2" t="n"/>
      <c r="N476" s="3">
        <f>IF(AND(M476&gt;0;L476&gt;0);1-L476/M476;"")</f>
        <v/>
      </c>
      <c r="O476" s="2">
        <f>IF(OR(Q476="";K476=0);"";(K476+IF(AM476&gt;0;AM476;'_Настройки'!$B$9)+AP476+AC476+Q476*K476)/(1-AH476-AD476))</f>
        <v/>
      </c>
      <c r="P476" s="2">
        <f>IF(O476="";"";O476-K476-O476*AH476-O476*AD476-IF(AM476&gt;0;AM476;'_Настройки'!$B$9)-AP476-AC476)</f>
        <v/>
      </c>
      <c r="Q476" s="3">
        <f>IF(AND(O476&gt;0;K476&gt;0);P476/K476;"")</f>
        <v/>
      </c>
      <c r="R476" s="2">
        <f>IF(O476="";"";O476-K476-O476*AK476-O476*AD476-IF(AM476&gt;0;AM476;'_Настройки'!$B$9)-AP476-AC476)</f>
        <v/>
      </c>
      <c r="S476" s="3">
        <f>IF(AND(O476&gt;0;K476&gt;0);R476/K476;"")</f>
        <v/>
      </c>
      <c r="T476" s="2" t="n"/>
      <c r="U476" s="3">
        <f>IF(AND(L476&gt;0;T476&gt;0);1-T476/L476;"")</f>
        <v/>
      </c>
      <c r="V476" s="3">
        <f>'_Настройки'!$B$4</f>
        <v/>
      </c>
      <c r="Z476" s="4">
        <f>IF(AND(W476&gt;0;X476&gt;0;Y476&gt;0);W476*X476*Y476/1000;"")</f>
        <v/>
      </c>
      <c r="AB476" s="2">
        <f>('_Настройки'!$B$6+MAX(0;Z476-1)*'_Настройки'!$B$7)*IF(AA476&gt;0;AA476;'_Настройки'!$B$10)</f>
        <v/>
      </c>
      <c r="AC476" s="2">
        <f>AB476*(1+'_Настройки'!$B$8)</f>
        <v/>
      </c>
      <c r="AD476" s="3">
        <f>'_Настройки'!$B$2</f>
        <v/>
      </c>
      <c r="AE476" s="2">
        <f>L476*AD476</f>
        <v/>
      </c>
      <c r="AF476" s="3">
        <f>'_Настройки'!$B$3</f>
        <v/>
      </c>
      <c r="AG476" s="3">
        <f>IFERROR(INDEX('_Комиссия_ВБ'!$B:$B;MATCH(C476;'_Комиссия_ВБ'!$A:$A;0));0,245)</f>
        <v/>
      </c>
      <c r="AH476" s="3">
        <f>AG476+AF476</f>
        <v/>
      </c>
      <c r="AI476" s="2">
        <f>L476*AH476</f>
        <v/>
      </c>
      <c r="AJ476" s="3">
        <f>IFERROR(INDEX('_Комиссия_ВБ'!$C:$C;MATCH(C476;'_Комиссия_ВБ'!$A:$A;0));0,28)</f>
        <v/>
      </c>
      <c r="AK476" s="3">
        <f>AJ476+AF476</f>
        <v/>
      </c>
      <c r="AL476" s="2">
        <f>L476*AK476</f>
        <v/>
      </c>
      <c r="AM476" s="2" t="n"/>
      <c r="AO476" s="3">
        <f>'_Настройки'!$B$5</f>
        <v/>
      </c>
      <c r="AP476" s="2">
        <f>IF(K476&gt;0;K476*AO476;0)</f>
        <v/>
      </c>
      <c r="AQ476" s="2">
        <f>L476-K476-AI476-AE476-IF(AM476&gt;0;AM476;'_Настройки'!$B$9)-AP476-AC476</f>
        <v/>
      </c>
      <c r="AR476" s="3">
        <f>IF(L476&gt;0;AQ476/L476;"")</f>
        <v/>
      </c>
      <c r="AS476" s="3">
        <f>IF(K476&gt;0;AQ476/K476;"")</f>
        <v/>
      </c>
      <c r="AT476" s="2">
        <f>L476-K476-AL476-AE476-IF(AM476&gt;0;AM476;'_Настройки'!$B$9)-AP476-AC476</f>
        <v/>
      </c>
      <c r="AU476" s="3">
        <f>IF(L476&gt;0;AT476/L476;"")</f>
        <v/>
      </c>
      <c r="AV476" s="3">
        <f>IF(K476&gt;0;AT476/K476;"")</f>
        <v/>
      </c>
    </row>
    <row r="477">
      <c r="A477">
        <f>ROW()-1</f>
        <v/>
      </c>
      <c r="K477" s="2">
        <f>IFERROR(INDEX('_Цены_закупки'!$B:$B;MATCH(C477;'_Цены_закупки'!$A:$A;0));"")</f>
        <v/>
      </c>
      <c r="L477" s="2" t="n"/>
      <c r="M477" s="2" t="n"/>
      <c r="N477" s="3">
        <f>IF(AND(M477&gt;0;L477&gt;0);1-L477/M477;"")</f>
        <v/>
      </c>
      <c r="O477" s="2">
        <f>IF(OR(Q477="";K477=0);"";(K477+IF(AM477&gt;0;AM477;'_Настройки'!$B$9)+AP477+AC477+Q477*K477)/(1-AH477-AD477))</f>
        <v/>
      </c>
      <c r="P477" s="2">
        <f>IF(O477="";"";O477-K477-O477*AH477-O477*AD477-IF(AM477&gt;0;AM477;'_Настройки'!$B$9)-AP477-AC477)</f>
        <v/>
      </c>
      <c r="Q477" s="3">
        <f>IF(AND(O477&gt;0;K477&gt;0);P477/K477;"")</f>
        <v/>
      </c>
      <c r="R477" s="2">
        <f>IF(O477="";"";O477-K477-O477*AK477-O477*AD477-IF(AM477&gt;0;AM477;'_Настройки'!$B$9)-AP477-AC477)</f>
        <v/>
      </c>
      <c r="S477" s="3">
        <f>IF(AND(O477&gt;0;K477&gt;0);R477/K477;"")</f>
        <v/>
      </c>
      <c r="T477" s="2" t="n"/>
      <c r="U477" s="3">
        <f>IF(AND(L477&gt;0;T477&gt;0);1-T477/L477;"")</f>
        <v/>
      </c>
      <c r="V477" s="3">
        <f>'_Настройки'!$B$4</f>
        <v/>
      </c>
      <c r="Z477" s="4">
        <f>IF(AND(W477&gt;0;X477&gt;0;Y477&gt;0);W477*X477*Y477/1000;"")</f>
        <v/>
      </c>
      <c r="AB477" s="2">
        <f>('_Настройки'!$B$6+MAX(0;Z477-1)*'_Настройки'!$B$7)*IF(AA477&gt;0;AA477;'_Настройки'!$B$10)</f>
        <v/>
      </c>
      <c r="AC477" s="2">
        <f>AB477*(1+'_Настройки'!$B$8)</f>
        <v/>
      </c>
      <c r="AD477" s="3">
        <f>'_Настройки'!$B$2</f>
        <v/>
      </c>
      <c r="AE477" s="2">
        <f>L477*AD477</f>
        <v/>
      </c>
      <c r="AF477" s="3">
        <f>'_Настройки'!$B$3</f>
        <v/>
      </c>
      <c r="AG477" s="3">
        <f>IFERROR(INDEX('_Комиссия_ВБ'!$B:$B;MATCH(C477;'_Комиссия_ВБ'!$A:$A;0));0,245)</f>
        <v/>
      </c>
      <c r="AH477" s="3">
        <f>AG477+AF477</f>
        <v/>
      </c>
      <c r="AI477" s="2">
        <f>L477*AH477</f>
        <v/>
      </c>
      <c r="AJ477" s="3">
        <f>IFERROR(INDEX('_Комиссия_ВБ'!$C:$C;MATCH(C477;'_Комиссия_ВБ'!$A:$A;0));0,28)</f>
        <v/>
      </c>
      <c r="AK477" s="3">
        <f>AJ477+AF477</f>
        <v/>
      </c>
      <c r="AL477" s="2">
        <f>L477*AK477</f>
        <v/>
      </c>
      <c r="AM477" s="2" t="n"/>
      <c r="AO477" s="3">
        <f>'_Настройки'!$B$5</f>
        <v/>
      </c>
      <c r="AP477" s="2">
        <f>IF(K477&gt;0;K477*AO477;0)</f>
        <v/>
      </c>
      <c r="AQ477" s="2">
        <f>L477-K477-AI477-AE477-IF(AM477&gt;0;AM477;'_Настройки'!$B$9)-AP477-AC477</f>
        <v/>
      </c>
      <c r="AR477" s="3">
        <f>IF(L477&gt;0;AQ477/L477;"")</f>
        <v/>
      </c>
      <c r="AS477" s="3">
        <f>IF(K477&gt;0;AQ477/K477;"")</f>
        <v/>
      </c>
      <c r="AT477" s="2">
        <f>L477-K477-AL477-AE477-IF(AM477&gt;0;AM477;'_Настройки'!$B$9)-AP477-AC477</f>
        <v/>
      </c>
      <c r="AU477" s="3">
        <f>IF(L477&gt;0;AT477/L477;"")</f>
        <v/>
      </c>
      <c r="AV477" s="3">
        <f>IF(K477&gt;0;AT477/K477;"")</f>
        <v/>
      </c>
    </row>
    <row r="478">
      <c r="A478">
        <f>ROW()-1</f>
        <v/>
      </c>
      <c r="K478" s="2">
        <f>IFERROR(INDEX('_Цены_закупки'!$B:$B;MATCH(C478;'_Цены_закупки'!$A:$A;0));"")</f>
        <v/>
      </c>
      <c r="L478" s="2" t="n"/>
      <c r="M478" s="2" t="n"/>
      <c r="N478" s="3">
        <f>IF(AND(M478&gt;0;L478&gt;0);1-L478/M478;"")</f>
        <v/>
      </c>
      <c r="O478" s="2">
        <f>IF(OR(Q478="";K478=0);"";(K478+IF(AM478&gt;0;AM478;'_Настройки'!$B$9)+AP478+AC478+Q478*K478)/(1-AH478-AD478))</f>
        <v/>
      </c>
      <c r="P478" s="2">
        <f>IF(O478="";"";O478-K478-O478*AH478-O478*AD478-IF(AM478&gt;0;AM478;'_Настройки'!$B$9)-AP478-AC478)</f>
        <v/>
      </c>
      <c r="Q478" s="3">
        <f>IF(AND(O478&gt;0;K478&gt;0);P478/K478;"")</f>
        <v/>
      </c>
      <c r="R478" s="2">
        <f>IF(O478="";"";O478-K478-O478*AK478-O478*AD478-IF(AM478&gt;0;AM478;'_Настройки'!$B$9)-AP478-AC478)</f>
        <v/>
      </c>
      <c r="S478" s="3">
        <f>IF(AND(O478&gt;0;K478&gt;0);R478/K478;"")</f>
        <v/>
      </c>
      <c r="T478" s="2" t="n"/>
      <c r="U478" s="3">
        <f>IF(AND(L478&gt;0;T478&gt;0);1-T478/L478;"")</f>
        <v/>
      </c>
      <c r="V478" s="3">
        <f>'_Настройки'!$B$4</f>
        <v/>
      </c>
      <c r="Z478" s="4">
        <f>IF(AND(W478&gt;0;X478&gt;0;Y478&gt;0);W478*X478*Y478/1000;"")</f>
        <v/>
      </c>
      <c r="AB478" s="2">
        <f>('_Настройки'!$B$6+MAX(0;Z478-1)*'_Настройки'!$B$7)*IF(AA478&gt;0;AA478;'_Настройки'!$B$10)</f>
        <v/>
      </c>
      <c r="AC478" s="2">
        <f>AB478*(1+'_Настройки'!$B$8)</f>
        <v/>
      </c>
      <c r="AD478" s="3">
        <f>'_Настройки'!$B$2</f>
        <v/>
      </c>
      <c r="AE478" s="2">
        <f>L478*AD478</f>
        <v/>
      </c>
      <c r="AF478" s="3">
        <f>'_Настройки'!$B$3</f>
        <v/>
      </c>
      <c r="AG478" s="3">
        <f>IFERROR(INDEX('_Комиссия_ВБ'!$B:$B;MATCH(C478;'_Комиссия_ВБ'!$A:$A;0));0,245)</f>
        <v/>
      </c>
      <c r="AH478" s="3">
        <f>AG478+AF478</f>
        <v/>
      </c>
      <c r="AI478" s="2">
        <f>L478*AH478</f>
        <v/>
      </c>
      <c r="AJ478" s="3">
        <f>IFERROR(INDEX('_Комиссия_ВБ'!$C:$C;MATCH(C478;'_Комиссия_ВБ'!$A:$A;0));0,28)</f>
        <v/>
      </c>
      <c r="AK478" s="3">
        <f>AJ478+AF478</f>
        <v/>
      </c>
      <c r="AL478" s="2">
        <f>L478*AK478</f>
        <v/>
      </c>
      <c r="AM478" s="2" t="n"/>
      <c r="AO478" s="3">
        <f>'_Настройки'!$B$5</f>
        <v/>
      </c>
      <c r="AP478" s="2">
        <f>IF(K478&gt;0;K478*AO478;0)</f>
        <v/>
      </c>
      <c r="AQ478" s="2">
        <f>L478-K478-AI478-AE478-IF(AM478&gt;0;AM478;'_Настройки'!$B$9)-AP478-AC478</f>
        <v/>
      </c>
      <c r="AR478" s="3">
        <f>IF(L478&gt;0;AQ478/L478;"")</f>
        <v/>
      </c>
      <c r="AS478" s="3">
        <f>IF(K478&gt;0;AQ478/K478;"")</f>
        <v/>
      </c>
      <c r="AT478" s="2">
        <f>L478-K478-AL478-AE478-IF(AM478&gt;0;AM478;'_Настройки'!$B$9)-AP478-AC478</f>
        <v/>
      </c>
      <c r="AU478" s="3">
        <f>IF(L478&gt;0;AT478/L478;"")</f>
        <v/>
      </c>
      <c r="AV478" s="3">
        <f>IF(K478&gt;0;AT478/K478;"")</f>
        <v/>
      </c>
    </row>
    <row r="479">
      <c r="A479">
        <f>ROW()-1</f>
        <v/>
      </c>
      <c r="K479" s="2">
        <f>IFERROR(INDEX('_Цены_закупки'!$B:$B;MATCH(C479;'_Цены_закупки'!$A:$A;0));"")</f>
        <v/>
      </c>
      <c r="L479" s="2" t="n"/>
      <c r="M479" s="2" t="n"/>
      <c r="N479" s="3">
        <f>IF(AND(M479&gt;0;L479&gt;0);1-L479/M479;"")</f>
        <v/>
      </c>
      <c r="O479" s="2">
        <f>IF(OR(Q479="";K479=0);"";(K479+IF(AM479&gt;0;AM479;'_Настройки'!$B$9)+AP479+AC479+Q479*K479)/(1-AH479-AD479))</f>
        <v/>
      </c>
      <c r="P479" s="2">
        <f>IF(O479="";"";O479-K479-O479*AH479-O479*AD479-IF(AM479&gt;0;AM479;'_Настройки'!$B$9)-AP479-AC479)</f>
        <v/>
      </c>
      <c r="Q479" s="3">
        <f>IF(AND(O479&gt;0;K479&gt;0);P479/K479;"")</f>
        <v/>
      </c>
      <c r="R479" s="2">
        <f>IF(O479="";"";O479-K479-O479*AK479-O479*AD479-IF(AM479&gt;0;AM479;'_Настройки'!$B$9)-AP479-AC479)</f>
        <v/>
      </c>
      <c r="S479" s="3">
        <f>IF(AND(O479&gt;0;K479&gt;0);R479/K479;"")</f>
        <v/>
      </c>
      <c r="T479" s="2" t="n"/>
      <c r="U479" s="3">
        <f>IF(AND(L479&gt;0;T479&gt;0);1-T479/L479;"")</f>
        <v/>
      </c>
      <c r="V479" s="3">
        <f>'_Настройки'!$B$4</f>
        <v/>
      </c>
      <c r="Z479" s="4">
        <f>IF(AND(W479&gt;0;X479&gt;0;Y479&gt;0);W479*X479*Y479/1000;"")</f>
        <v/>
      </c>
      <c r="AB479" s="2">
        <f>('_Настройки'!$B$6+MAX(0;Z479-1)*'_Настройки'!$B$7)*IF(AA479&gt;0;AA479;'_Настройки'!$B$10)</f>
        <v/>
      </c>
      <c r="AC479" s="2">
        <f>AB479*(1+'_Настройки'!$B$8)</f>
        <v/>
      </c>
      <c r="AD479" s="3">
        <f>'_Настройки'!$B$2</f>
        <v/>
      </c>
      <c r="AE479" s="2">
        <f>L479*AD479</f>
        <v/>
      </c>
      <c r="AF479" s="3">
        <f>'_Настройки'!$B$3</f>
        <v/>
      </c>
      <c r="AG479" s="3">
        <f>IFERROR(INDEX('_Комиссия_ВБ'!$B:$B;MATCH(C479;'_Комиссия_ВБ'!$A:$A;0));0,245)</f>
        <v/>
      </c>
      <c r="AH479" s="3">
        <f>AG479+AF479</f>
        <v/>
      </c>
      <c r="AI479" s="2">
        <f>L479*AH479</f>
        <v/>
      </c>
      <c r="AJ479" s="3">
        <f>IFERROR(INDEX('_Комиссия_ВБ'!$C:$C;MATCH(C479;'_Комиссия_ВБ'!$A:$A;0));0,28)</f>
        <v/>
      </c>
      <c r="AK479" s="3">
        <f>AJ479+AF479</f>
        <v/>
      </c>
      <c r="AL479" s="2">
        <f>L479*AK479</f>
        <v/>
      </c>
      <c r="AM479" s="2" t="n"/>
      <c r="AO479" s="3">
        <f>'_Настройки'!$B$5</f>
        <v/>
      </c>
      <c r="AP479" s="2">
        <f>IF(K479&gt;0;K479*AO479;0)</f>
        <v/>
      </c>
      <c r="AQ479" s="2">
        <f>L479-K479-AI479-AE479-IF(AM479&gt;0;AM479;'_Настройки'!$B$9)-AP479-AC479</f>
        <v/>
      </c>
      <c r="AR479" s="3">
        <f>IF(L479&gt;0;AQ479/L479;"")</f>
        <v/>
      </c>
      <c r="AS479" s="3">
        <f>IF(K479&gt;0;AQ479/K479;"")</f>
        <v/>
      </c>
      <c r="AT479" s="2">
        <f>L479-K479-AL479-AE479-IF(AM479&gt;0;AM479;'_Настройки'!$B$9)-AP479-AC479</f>
        <v/>
      </c>
      <c r="AU479" s="3">
        <f>IF(L479&gt;0;AT479/L479;"")</f>
        <v/>
      </c>
      <c r="AV479" s="3">
        <f>IF(K479&gt;0;AT479/K479;"")</f>
        <v/>
      </c>
    </row>
    <row r="480">
      <c r="A480">
        <f>ROW()-1</f>
        <v/>
      </c>
      <c r="K480" s="2">
        <f>IFERROR(INDEX('_Цены_закупки'!$B:$B;MATCH(C480;'_Цены_закупки'!$A:$A;0));"")</f>
        <v/>
      </c>
      <c r="L480" s="2" t="n"/>
      <c r="M480" s="2" t="n"/>
      <c r="N480" s="3">
        <f>IF(AND(M480&gt;0;L480&gt;0);1-L480/M480;"")</f>
        <v/>
      </c>
      <c r="O480" s="2">
        <f>IF(OR(Q480="";K480=0);"";(K480+IF(AM480&gt;0;AM480;'_Настройки'!$B$9)+AP480+AC480+Q480*K480)/(1-AH480-AD480))</f>
        <v/>
      </c>
      <c r="P480" s="2">
        <f>IF(O480="";"";O480-K480-O480*AH480-O480*AD480-IF(AM480&gt;0;AM480;'_Настройки'!$B$9)-AP480-AC480)</f>
        <v/>
      </c>
      <c r="Q480" s="3">
        <f>IF(AND(O480&gt;0;K480&gt;0);P480/K480;"")</f>
        <v/>
      </c>
      <c r="R480" s="2">
        <f>IF(O480="";"";O480-K480-O480*AK480-O480*AD480-IF(AM480&gt;0;AM480;'_Настройки'!$B$9)-AP480-AC480)</f>
        <v/>
      </c>
      <c r="S480" s="3">
        <f>IF(AND(O480&gt;0;K480&gt;0);R480/K480;"")</f>
        <v/>
      </c>
      <c r="T480" s="2" t="n"/>
      <c r="U480" s="3">
        <f>IF(AND(L480&gt;0;T480&gt;0);1-T480/L480;"")</f>
        <v/>
      </c>
      <c r="V480" s="3">
        <f>'_Настройки'!$B$4</f>
        <v/>
      </c>
      <c r="Z480" s="4">
        <f>IF(AND(W480&gt;0;X480&gt;0;Y480&gt;0);W480*X480*Y480/1000;"")</f>
        <v/>
      </c>
      <c r="AB480" s="2">
        <f>('_Настройки'!$B$6+MAX(0;Z480-1)*'_Настройки'!$B$7)*IF(AA480&gt;0;AA480;'_Настройки'!$B$10)</f>
        <v/>
      </c>
      <c r="AC480" s="2">
        <f>AB480*(1+'_Настройки'!$B$8)</f>
        <v/>
      </c>
      <c r="AD480" s="3">
        <f>'_Настройки'!$B$2</f>
        <v/>
      </c>
      <c r="AE480" s="2">
        <f>L480*AD480</f>
        <v/>
      </c>
      <c r="AF480" s="3">
        <f>'_Настройки'!$B$3</f>
        <v/>
      </c>
      <c r="AG480" s="3">
        <f>IFERROR(INDEX('_Комиссия_ВБ'!$B:$B;MATCH(C480;'_Комиссия_ВБ'!$A:$A;0));0,245)</f>
        <v/>
      </c>
      <c r="AH480" s="3">
        <f>AG480+AF480</f>
        <v/>
      </c>
      <c r="AI480" s="2">
        <f>L480*AH480</f>
        <v/>
      </c>
      <c r="AJ480" s="3">
        <f>IFERROR(INDEX('_Комиссия_ВБ'!$C:$C;MATCH(C480;'_Комиссия_ВБ'!$A:$A;0));0,28)</f>
        <v/>
      </c>
      <c r="AK480" s="3">
        <f>AJ480+AF480</f>
        <v/>
      </c>
      <c r="AL480" s="2">
        <f>L480*AK480</f>
        <v/>
      </c>
      <c r="AM480" s="2" t="n"/>
      <c r="AO480" s="3">
        <f>'_Настройки'!$B$5</f>
        <v/>
      </c>
      <c r="AP480" s="2">
        <f>IF(K480&gt;0;K480*AO480;0)</f>
        <v/>
      </c>
      <c r="AQ480" s="2">
        <f>L480-K480-AI480-AE480-IF(AM480&gt;0;AM480;'_Настройки'!$B$9)-AP480-AC480</f>
        <v/>
      </c>
      <c r="AR480" s="3">
        <f>IF(L480&gt;0;AQ480/L480;"")</f>
        <v/>
      </c>
      <c r="AS480" s="3">
        <f>IF(K480&gt;0;AQ480/K480;"")</f>
        <v/>
      </c>
      <c r="AT480" s="2">
        <f>L480-K480-AL480-AE480-IF(AM480&gt;0;AM480;'_Настройки'!$B$9)-AP480-AC480</f>
        <v/>
      </c>
      <c r="AU480" s="3">
        <f>IF(L480&gt;0;AT480/L480;"")</f>
        <v/>
      </c>
      <c r="AV480" s="3">
        <f>IF(K480&gt;0;AT480/K480;"")</f>
        <v/>
      </c>
    </row>
    <row r="481">
      <c r="A481">
        <f>ROW()-1</f>
        <v/>
      </c>
      <c r="K481" s="2">
        <f>IFERROR(INDEX('_Цены_закупки'!$B:$B;MATCH(C481;'_Цены_закупки'!$A:$A;0));"")</f>
        <v/>
      </c>
      <c r="L481" s="2" t="n"/>
      <c r="M481" s="2" t="n"/>
      <c r="N481" s="3">
        <f>IF(AND(M481&gt;0;L481&gt;0);1-L481/M481;"")</f>
        <v/>
      </c>
      <c r="O481" s="2">
        <f>IF(OR(Q481="";K481=0);"";(K481+IF(AM481&gt;0;AM481;'_Настройки'!$B$9)+AP481+AC481+Q481*K481)/(1-AH481-AD481))</f>
        <v/>
      </c>
      <c r="P481" s="2">
        <f>IF(O481="";"";O481-K481-O481*AH481-O481*AD481-IF(AM481&gt;0;AM481;'_Настройки'!$B$9)-AP481-AC481)</f>
        <v/>
      </c>
      <c r="Q481" s="3">
        <f>IF(AND(O481&gt;0;K481&gt;0);P481/K481;"")</f>
        <v/>
      </c>
      <c r="R481" s="2">
        <f>IF(O481="";"";O481-K481-O481*AK481-O481*AD481-IF(AM481&gt;0;AM481;'_Настройки'!$B$9)-AP481-AC481)</f>
        <v/>
      </c>
      <c r="S481" s="3">
        <f>IF(AND(O481&gt;0;K481&gt;0);R481/K481;"")</f>
        <v/>
      </c>
      <c r="T481" s="2" t="n"/>
      <c r="U481" s="3">
        <f>IF(AND(L481&gt;0;T481&gt;0);1-T481/L481;"")</f>
        <v/>
      </c>
      <c r="V481" s="3">
        <f>'_Настройки'!$B$4</f>
        <v/>
      </c>
      <c r="Z481" s="4">
        <f>IF(AND(W481&gt;0;X481&gt;0;Y481&gt;0);W481*X481*Y481/1000;"")</f>
        <v/>
      </c>
      <c r="AB481" s="2">
        <f>('_Настройки'!$B$6+MAX(0;Z481-1)*'_Настройки'!$B$7)*IF(AA481&gt;0;AA481;'_Настройки'!$B$10)</f>
        <v/>
      </c>
      <c r="AC481" s="2">
        <f>AB481*(1+'_Настройки'!$B$8)</f>
        <v/>
      </c>
      <c r="AD481" s="3">
        <f>'_Настройки'!$B$2</f>
        <v/>
      </c>
      <c r="AE481" s="2">
        <f>L481*AD481</f>
        <v/>
      </c>
      <c r="AF481" s="3">
        <f>'_Настройки'!$B$3</f>
        <v/>
      </c>
      <c r="AG481" s="3">
        <f>IFERROR(INDEX('_Комиссия_ВБ'!$B:$B;MATCH(C481;'_Комиссия_ВБ'!$A:$A;0));0,245)</f>
        <v/>
      </c>
      <c r="AH481" s="3">
        <f>AG481+AF481</f>
        <v/>
      </c>
      <c r="AI481" s="2">
        <f>L481*AH481</f>
        <v/>
      </c>
      <c r="AJ481" s="3">
        <f>IFERROR(INDEX('_Комиссия_ВБ'!$C:$C;MATCH(C481;'_Комиссия_ВБ'!$A:$A;0));0,28)</f>
        <v/>
      </c>
      <c r="AK481" s="3">
        <f>AJ481+AF481</f>
        <v/>
      </c>
      <c r="AL481" s="2">
        <f>L481*AK481</f>
        <v/>
      </c>
      <c r="AM481" s="2" t="n"/>
      <c r="AO481" s="3">
        <f>'_Настройки'!$B$5</f>
        <v/>
      </c>
      <c r="AP481" s="2">
        <f>IF(K481&gt;0;K481*AO481;0)</f>
        <v/>
      </c>
      <c r="AQ481" s="2">
        <f>L481-K481-AI481-AE481-IF(AM481&gt;0;AM481;'_Настройки'!$B$9)-AP481-AC481</f>
        <v/>
      </c>
      <c r="AR481" s="3">
        <f>IF(L481&gt;0;AQ481/L481;"")</f>
        <v/>
      </c>
      <c r="AS481" s="3">
        <f>IF(K481&gt;0;AQ481/K481;"")</f>
        <v/>
      </c>
      <c r="AT481" s="2">
        <f>L481-K481-AL481-AE481-IF(AM481&gt;0;AM481;'_Настройки'!$B$9)-AP481-AC481</f>
        <v/>
      </c>
      <c r="AU481" s="3">
        <f>IF(L481&gt;0;AT481/L481;"")</f>
        <v/>
      </c>
      <c r="AV481" s="3">
        <f>IF(K481&gt;0;AT481/K481;"")</f>
        <v/>
      </c>
    </row>
    <row r="482">
      <c r="A482">
        <f>ROW()-1</f>
        <v/>
      </c>
      <c r="K482" s="2">
        <f>IFERROR(INDEX('_Цены_закупки'!$B:$B;MATCH(C482;'_Цены_закупки'!$A:$A;0));"")</f>
        <v/>
      </c>
      <c r="L482" s="2" t="n"/>
      <c r="M482" s="2" t="n"/>
      <c r="N482" s="3">
        <f>IF(AND(M482&gt;0;L482&gt;0);1-L482/M482;"")</f>
        <v/>
      </c>
      <c r="O482" s="2">
        <f>IF(OR(Q482="";K482=0);"";(K482+IF(AM482&gt;0;AM482;'_Настройки'!$B$9)+AP482+AC482+Q482*K482)/(1-AH482-AD482))</f>
        <v/>
      </c>
      <c r="P482" s="2">
        <f>IF(O482="";"";O482-K482-O482*AH482-O482*AD482-IF(AM482&gt;0;AM482;'_Настройки'!$B$9)-AP482-AC482)</f>
        <v/>
      </c>
      <c r="Q482" s="3">
        <f>IF(AND(O482&gt;0;K482&gt;0);P482/K482;"")</f>
        <v/>
      </c>
      <c r="R482" s="2">
        <f>IF(O482="";"";O482-K482-O482*AK482-O482*AD482-IF(AM482&gt;0;AM482;'_Настройки'!$B$9)-AP482-AC482)</f>
        <v/>
      </c>
      <c r="S482" s="3">
        <f>IF(AND(O482&gt;0;K482&gt;0);R482/K482;"")</f>
        <v/>
      </c>
      <c r="T482" s="2" t="n"/>
      <c r="U482" s="3">
        <f>IF(AND(L482&gt;0;T482&gt;0);1-T482/L482;"")</f>
        <v/>
      </c>
      <c r="V482" s="3">
        <f>'_Настройки'!$B$4</f>
        <v/>
      </c>
      <c r="Z482" s="4">
        <f>IF(AND(W482&gt;0;X482&gt;0;Y482&gt;0);W482*X482*Y482/1000;"")</f>
        <v/>
      </c>
      <c r="AB482" s="2">
        <f>('_Настройки'!$B$6+MAX(0;Z482-1)*'_Настройки'!$B$7)*IF(AA482&gt;0;AA482;'_Настройки'!$B$10)</f>
        <v/>
      </c>
      <c r="AC482" s="2">
        <f>AB482*(1+'_Настройки'!$B$8)</f>
        <v/>
      </c>
      <c r="AD482" s="3">
        <f>'_Настройки'!$B$2</f>
        <v/>
      </c>
      <c r="AE482" s="2">
        <f>L482*AD482</f>
        <v/>
      </c>
      <c r="AF482" s="3">
        <f>'_Настройки'!$B$3</f>
        <v/>
      </c>
      <c r="AG482" s="3">
        <f>IFERROR(INDEX('_Комиссия_ВБ'!$B:$B;MATCH(C482;'_Комиссия_ВБ'!$A:$A;0));0,245)</f>
        <v/>
      </c>
      <c r="AH482" s="3">
        <f>AG482+AF482</f>
        <v/>
      </c>
      <c r="AI482" s="2">
        <f>L482*AH482</f>
        <v/>
      </c>
      <c r="AJ482" s="3">
        <f>IFERROR(INDEX('_Комиссия_ВБ'!$C:$C;MATCH(C482;'_Комиссия_ВБ'!$A:$A;0));0,28)</f>
        <v/>
      </c>
      <c r="AK482" s="3">
        <f>AJ482+AF482</f>
        <v/>
      </c>
      <c r="AL482" s="2">
        <f>L482*AK482</f>
        <v/>
      </c>
      <c r="AM482" s="2" t="n"/>
      <c r="AO482" s="3">
        <f>'_Настройки'!$B$5</f>
        <v/>
      </c>
      <c r="AP482" s="2">
        <f>IF(K482&gt;0;K482*AO482;0)</f>
        <v/>
      </c>
      <c r="AQ482" s="2">
        <f>L482-K482-AI482-AE482-IF(AM482&gt;0;AM482;'_Настройки'!$B$9)-AP482-AC482</f>
        <v/>
      </c>
      <c r="AR482" s="3">
        <f>IF(L482&gt;0;AQ482/L482;"")</f>
        <v/>
      </c>
      <c r="AS482" s="3">
        <f>IF(K482&gt;0;AQ482/K482;"")</f>
        <v/>
      </c>
      <c r="AT482" s="2">
        <f>L482-K482-AL482-AE482-IF(AM482&gt;0;AM482;'_Настройки'!$B$9)-AP482-AC482</f>
        <v/>
      </c>
      <c r="AU482" s="3">
        <f>IF(L482&gt;0;AT482/L482;"")</f>
        <v/>
      </c>
      <c r="AV482" s="3">
        <f>IF(K482&gt;0;AT482/K482;"")</f>
        <v/>
      </c>
    </row>
    <row r="483">
      <c r="A483">
        <f>ROW()-1</f>
        <v/>
      </c>
      <c r="K483" s="2">
        <f>IFERROR(INDEX('_Цены_закупки'!$B:$B;MATCH(C483;'_Цены_закупки'!$A:$A;0));"")</f>
        <v/>
      </c>
      <c r="L483" s="2" t="n"/>
      <c r="M483" s="2" t="n"/>
      <c r="N483" s="3">
        <f>IF(AND(M483&gt;0;L483&gt;0);1-L483/M483;"")</f>
        <v/>
      </c>
      <c r="O483" s="2">
        <f>IF(OR(Q483="";K483=0);"";(K483+IF(AM483&gt;0;AM483;'_Настройки'!$B$9)+AP483+AC483+Q483*K483)/(1-AH483-AD483))</f>
        <v/>
      </c>
      <c r="P483" s="2">
        <f>IF(O483="";"";O483-K483-O483*AH483-O483*AD483-IF(AM483&gt;0;AM483;'_Настройки'!$B$9)-AP483-AC483)</f>
        <v/>
      </c>
      <c r="Q483" s="3">
        <f>IF(AND(O483&gt;0;K483&gt;0);P483/K483;"")</f>
        <v/>
      </c>
      <c r="R483" s="2">
        <f>IF(O483="";"";O483-K483-O483*AK483-O483*AD483-IF(AM483&gt;0;AM483;'_Настройки'!$B$9)-AP483-AC483)</f>
        <v/>
      </c>
      <c r="S483" s="3">
        <f>IF(AND(O483&gt;0;K483&gt;0);R483/K483;"")</f>
        <v/>
      </c>
      <c r="T483" s="2" t="n"/>
      <c r="U483" s="3">
        <f>IF(AND(L483&gt;0;T483&gt;0);1-T483/L483;"")</f>
        <v/>
      </c>
      <c r="V483" s="3">
        <f>'_Настройки'!$B$4</f>
        <v/>
      </c>
      <c r="Z483" s="4">
        <f>IF(AND(W483&gt;0;X483&gt;0;Y483&gt;0);W483*X483*Y483/1000;"")</f>
        <v/>
      </c>
      <c r="AB483" s="2">
        <f>('_Настройки'!$B$6+MAX(0;Z483-1)*'_Настройки'!$B$7)*IF(AA483&gt;0;AA483;'_Настройки'!$B$10)</f>
        <v/>
      </c>
      <c r="AC483" s="2">
        <f>AB483*(1+'_Настройки'!$B$8)</f>
        <v/>
      </c>
      <c r="AD483" s="3">
        <f>'_Настройки'!$B$2</f>
        <v/>
      </c>
      <c r="AE483" s="2">
        <f>L483*AD483</f>
        <v/>
      </c>
      <c r="AF483" s="3">
        <f>'_Настройки'!$B$3</f>
        <v/>
      </c>
      <c r="AG483" s="3">
        <f>IFERROR(INDEX('_Комиссия_ВБ'!$B:$B;MATCH(C483;'_Комиссия_ВБ'!$A:$A;0));0,245)</f>
        <v/>
      </c>
      <c r="AH483" s="3">
        <f>AG483+AF483</f>
        <v/>
      </c>
      <c r="AI483" s="2">
        <f>L483*AH483</f>
        <v/>
      </c>
      <c r="AJ483" s="3">
        <f>IFERROR(INDEX('_Комиссия_ВБ'!$C:$C;MATCH(C483;'_Комиссия_ВБ'!$A:$A;0));0,28)</f>
        <v/>
      </c>
      <c r="AK483" s="3">
        <f>AJ483+AF483</f>
        <v/>
      </c>
      <c r="AL483" s="2">
        <f>L483*AK483</f>
        <v/>
      </c>
      <c r="AM483" s="2" t="n"/>
      <c r="AO483" s="3">
        <f>'_Настройки'!$B$5</f>
        <v/>
      </c>
      <c r="AP483" s="2">
        <f>IF(K483&gt;0;K483*AO483;0)</f>
        <v/>
      </c>
      <c r="AQ483" s="2">
        <f>L483-K483-AI483-AE483-IF(AM483&gt;0;AM483;'_Настройки'!$B$9)-AP483-AC483</f>
        <v/>
      </c>
      <c r="AR483" s="3">
        <f>IF(L483&gt;0;AQ483/L483;"")</f>
        <v/>
      </c>
      <c r="AS483" s="3">
        <f>IF(K483&gt;0;AQ483/K483;"")</f>
        <v/>
      </c>
      <c r="AT483" s="2">
        <f>L483-K483-AL483-AE483-IF(AM483&gt;0;AM483;'_Настройки'!$B$9)-AP483-AC483</f>
        <v/>
      </c>
      <c r="AU483" s="3">
        <f>IF(L483&gt;0;AT483/L483;"")</f>
        <v/>
      </c>
      <c r="AV483" s="3">
        <f>IF(K483&gt;0;AT483/K483;"")</f>
        <v/>
      </c>
    </row>
    <row r="484">
      <c r="A484">
        <f>ROW()-1</f>
        <v/>
      </c>
      <c r="K484" s="2">
        <f>IFERROR(INDEX('_Цены_закупки'!$B:$B;MATCH(C484;'_Цены_закупки'!$A:$A;0));"")</f>
        <v/>
      </c>
      <c r="L484" s="2" t="n"/>
      <c r="M484" s="2" t="n"/>
      <c r="N484" s="3">
        <f>IF(AND(M484&gt;0;L484&gt;0);1-L484/M484;"")</f>
        <v/>
      </c>
      <c r="O484" s="2">
        <f>IF(OR(Q484="";K484=0);"";(K484+IF(AM484&gt;0;AM484;'_Настройки'!$B$9)+AP484+AC484+Q484*K484)/(1-AH484-AD484))</f>
        <v/>
      </c>
      <c r="P484" s="2">
        <f>IF(O484="";"";O484-K484-O484*AH484-O484*AD484-IF(AM484&gt;0;AM484;'_Настройки'!$B$9)-AP484-AC484)</f>
        <v/>
      </c>
      <c r="Q484" s="3">
        <f>IF(AND(O484&gt;0;K484&gt;0);P484/K484;"")</f>
        <v/>
      </c>
      <c r="R484" s="2">
        <f>IF(O484="";"";O484-K484-O484*AK484-O484*AD484-IF(AM484&gt;0;AM484;'_Настройки'!$B$9)-AP484-AC484)</f>
        <v/>
      </c>
      <c r="S484" s="3">
        <f>IF(AND(O484&gt;0;K484&gt;0);R484/K484;"")</f>
        <v/>
      </c>
      <c r="T484" s="2" t="n"/>
      <c r="U484" s="3">
        <f>IF(AND(L484&gt;0;T484&gt;0);1-T484/L484;"")</f>
        <v/>
      </c>
      <c r="V484" s="3">
        <f>'_Настройки'!$B$4</f>
        <v/>
      </c>
      <c r="Z484" s="4">
        <f>IF(AND(W484&gt;0;X484&gt;0;Y484&gt;0);W484*X484*Y484/1000;"")</f>
        <v/>
      </c>
      <c r="AB484" s="2">
        <f>('_Настройки'!$B$6+MAX(0;Z484-1)*'_Настройки'!$B$7)*IF(AA484&gt;0;AA484;'_Настройки'!$B$10)</f>
        <v/>
      </c>
      <c r="AC484" s="2">
        <f>AB484*(1+'_Настройки'!$B$8)</f>
        <v/>
      </c>
      <c r="AD484" s="3">
        <f>'_Настройки'!$B$2</f>
        <v/>
      </c>
      <c r="AE484" s="2">
        <f>L484*AD484</f>
        <v/>
      </c>
      <c r="AF484" s="3">
        <f>'_Настройки'!$B$3</f>
        <v/>
      </c>
      <c r="AG484" s="3">
        <f>IFERROR(INDEX('_Комиссия_ВБ'!$B:$B;MATCH(C484;'_Комиссия_ВБ'!$A:$A;0));0,245)</f>
        <v/>
      </c>
      <c r="AH484" s="3">
        <f>AG484+AF484</f>
        <v/>
      </c>
      <c r="AI484" s="2">
        <f>L484*AH484</f>
        <v/>
      </c>
      <c r="AJ484" s="3">
        <f>IFERROR(INDEX('_Комиссия_ВБ'!$C:$C;MATCH(C484;'_Комиссия_ВБ'!$A:$A;0));0,28)</f>
        <v/>
      </c>
      <c r="AK484" s="3">
        <f>AJ484+AF484</f>
        <v/>
      </c>
      <c r="AL484" s="2">
        <f>L484*AK484</f>
        <v/>
      </c>
      <c r="AM484" s="2" t="n"/>
      <c r="AO484" s="3">
        <f>'_Настройки'!$B$5</f>
        <v/>
      </c>
      <c r="AP484" s="2">
        <f>IF(K484&gt;0;K484*AO484;0)</f>
        <v/>
      </c>
      <c r="AQ484" s="2">
        <f>L484-K484-AI484-AE484-IF(AM484&gt;0;AM484;'_Настройки'!$B$9)-AP484-AC484</f>
        <v/>
      </c>
      <c r="AR484" s="3">
        <f>IF(L484&gt;0;AQ484/L484;"")</f>
        <v/>
      </c>
      <c r="AS484" s="3">
        <f>IF(K484&gt;0;AQ484/K484;"")</f>
        <v/>
      </c>
      <c r="AT484" s="2">
        <f>L484-K484-AL484-AE484-IF(AM484&gt;0;AM484;'_Настройки'!$B$9)-AP484-AC484</f>
        <v/>
      </c>
      <c r="AU484" s="3">
        <f>IF(L484&gt;0;AT484/L484;"")</f>
        <v/>
      </c>
      <c r="AV484" s="3">
        <f>IF(K484&gt;0;AT484/K484;"")</f>
        <v/>
      </c>
    </row>
    <row r="485">
      <c r="A485">
        <f>ROW()-1</f>
        <v/>
      </c>
      <c r="K485" s="2">
        <f>IFERROR(INDEX('_Цены_закупки'!$B:$B;MATCH(C485;'_Цены_закупки'!$A:$A;0));"")</f>
        <v/>
      </c>
      <c r="L485" s="2" t="n"/>
      <c r="M485" s="2" t="n"/>
      <c r="N485" s="3">
        <f>IF(AND(M485&gt;0;L485&gt;0);1-L485/M485;"")</f>
        <v/>
      </c>
      <c r="O485" s="2">
        <f>IF(OR(Q485="";K485=0);"";(K485+IF(AM485&gt;0;AM485;'_Настройки'!$B$9)+AP485+AC485+Q485*K485)/(1-AH485-AD485))</f>
        <v/>
      </c>
      <c r="P485" s="2">
        <f>IF(O485="";"";O485-K485-O485*AH485-O485*AD485-IF(AM485&gt;0;AM485;'_Настройки'!$B$9)-AP485-AC485)</f>
        <v/>
      </c>
      <c r="Q485" s="3">
        <f>IF(AND(O485&gt;0;K485&gt;0);P485/K485;"")</f>
        <v/>
      </c>
      <c r="R485" s="2">
        <f>IF(O485="";"";O485-K485-O485*AK485-O485*AD485-IF(AM485&gt;0;AM485;'_Настройки'!$B$9)-AP485-AC485)</f>
        <v/>
      </c>
      <c r="S485" s="3">
        <f>IF(AND(O485&gt;0;K485&gt;0);R485/K485;"")</f>
        <v/>
      </c>
      <c r="T485" s="2" t="n"/>
      <c r="U485" s="3">
        <f>IF(AND(L485&gt;0;T485&gt;0);1-T485/L485;"")</f>
        <v/>
      </c>
      <c r="V485" s="3">
        <f>'_Настройки'!$B$4</f>
        <v/>
      </c>
      <c r="Z485" s="4">
        <f>IF(AND(W485&gt;0;X485&gt;0;Y485&gt;0);W485*X485*Y485/1000;"")</f>
        <v/>
      </c>
      <c r="AB485" s="2">
        <f>('_Настройки'!$B$6+MAX(0;Z485-1)*'_Настройки'!$B$7)*IF(AA485&gt;0;AA485;'_Настройки'!$B$10)</f>
        <v/>
      </c>
      <c r="AC485" s="2">
        <f>AB485*(1+'_Настройки'!$B$8)</f>
        <v/>
      </c>
      <c r="AD485" s="3">
        <f>'_Настройки'!$B$2</f>
        <v/>
      </c>
      <c r="AE485" s="2">
        <f>L485*AD485</f>
        <v/>
      </c>
      <c r="AF485" s="3">
        <f>'_Настройки'!$B$3</f>
        <v/>
      </c>
      <c r="AG485" s="3">
        <f>IFERROR(INDEX('_Комиссия_ВБ'!$B:$B;MATCH(C485;'_Комиссия_ВБ'!$A:$A;0));0,245)</f>
        <v/>
      </c>
      <c r="AH485" s="3">
        <f>AG485+AF485</f>
        <v/>
      </c>
      <c r="AI485" s="2">
        <f>L485*AH485</f>
        <v/>
      </c>
      <c r="AJ485" s="3">
        <f>IFERROR(INDEX('_Комиссия_ВБ'!$C:$C;MATCH(C485;'_Комиссия_ВБ'!$A:$A;0));0,28)</f>
        <v/>
      </c>
      <c r="AK485" s="3">
        <f>AJ485+AF485</f>
        <v/>
      </c>
      <c r="AL485" s="2">
        <f>L485*AK485</f>
        <v/>
      </c>
      <c r="AM485" s="2" t="n"/>
      <c r="AO485" s="3">
        <f>'_Настройки'!$B$5</f>
        <v/>
      </c>
      <c r="AP485" s="2">
        <f>IF(K485&gt;0;K485*AO485;0)</f>
        <v/>
      </c>
      <c r="AQ485" s="2">
        <f>L485-K485-AI485-AE485-IF(AM485&gt;0;AM485;'_Настройки'!$B$9)-AP485-AC485</f>
        <v/>
      </c>
      <c r="AR485" s="3">
        <f>IF(L485&gt;0;AQ485/L485;"")</f>
        <v/>
      </c>
      <c r="AS485" s="3">
        <f>IF(K485&gt;0;AQ485/K485;"")</f>
        <v/>
      </c>
      <c r="AT485" s="2">
        <f>L485-K485-AL485-AE485-IF(AM485&gt;0;AM485;'_Настройки'!$B$9)-AP485-AC485</f>
        <v/>
      </c>
      <c r="AU485" s="3">
        <f>IF(L485&gt;0;AT485/L485;"")</f>
        <v/>
      </c>
      <c r="AV485" s="3">
        <f>IF(K485&gt;0;AT485/K485;"")</f>
        <v/>
      </c>
    </row>
    <row r="486">
      <c r="A486">
        <f>ROW()-1</f>
        <v/>
      </c>
      <c r="K486" s="2">
        <f>IFERROR(INDEX('_Цены_закупки'!$B:$B;MATCH(C486;'_Цены_закупки'!$A:$A;0));"")</f>
        <v/>
      </c>
      <c r="L486" s="2" t="n"/>
      <c r="M486" s="2" t="n"/>
      <c r="N486" s="3">
        <f>IF(AND(M486&gt;0;L486&gt;0);1-L486/M486;"")</f>
        <v/>
      </c>
      <c r="O486" s="2">
        <f>IF(OR(Q486="";K486=0);"";(K486+IF(AM486&gt;0;AM486;'_Настройки'!$B$9)+AP486+AC486+Q486*K486)/(1-AH486-AD486))</f>
        <v/>
      </c>
      <c r="P486" s="2">
        <f>IF(O486="";"";O486-K486-O486*AH486-O486*AD486-IF(AM486&gt;0;AM486;'_Настройки'!$B$9)-AP486-AC486)</f>
        <v/>
      </c>
      <c r="Q486" s="3">
        <f>IF(AND(O486&gt;0;K486&gt;0);P486/K486;"")</f>
        <v/>
      </c>
      <c r="R486" s="2">
        <f>IF(O486="";"";O486-K486-O486*AK486-O486*AD486-IF(AM486&gt;0;AM486;'_Настройки'!$B$9)-AP486-AC486)</f>
        <v/>
      </c>
      <c r="S486" s="3">
        <f>IF(AND(O486&gt;0;K486&gt;0);R486/K486;"")</f>
        <v/>
      </c>
      <c r="T486" s="2" t="n"/>
      <c r="U486" s="3">
        <f>IF(AND(L486&gt;0;T486&gt;0);1-T486/L486;"")</f>
        <v/>
      </c>
      <c r="V486" s="3">
        <f>'_Настройки'!$B$4</f>
        <v/>
      </c>
      <c r="Z486" s="4">
        <f>IF(AND(W486&gt;0;X486&gt;0;Y486&gt;0);W486*X486*Y486/1000;"")</f>
        <v/>
      </c>
      <c r="AB486" s="2">
        <f>('_Настройки'!$B$6+MAX(0;Z486-1)*'_Настройки'!$B$7)*IF(AA486&gt;0;AA486;'_Настройки'!$B$10)</f>
        <v/>
      </c>
      <c r="AC486" s="2">
        <f>AB486*(1+'_Настройки'!$B$8)</f>
        <v/>
      </c>
      <c r="AD486" s="3">
        <f>'_Настройки'!$B$2</f>
        <v/>
      </c>
      <c r="AE486" s="2">
        <f>L486*AD486</f>
        <v/>
      </c>
      <c r="AF486" s="3">
        <f>'_Настройки'!$B$3</f>
        <v/>
      </c>
      <c r="AG486" s="3">
        <f>IFERROR(INDEX('_Комиссия_ВБ'!$B:$B;MATCH(C486;'_Комиссия_ВБ'!$A:$A;0));0,245)</f>
        <v/>
      </c>
      <c r="AH486" s="3">
        <f>AG486+AF486</f>
        <v/>
      </c>
      <c r="AI486" s="2">
        <f>L486*AH486</f>
        <v/>
      </c>
      <c r="AJ486" s="3">
        <f>IFERROR(INDEX('_Комиссия_ВБ'!$C:$C;MATCH(C486;'_Комиссия_ВБ'!$A:$A;0));0,28)</f>
        <v/>
      </c>
      <c r="AK486" s="3">
        <f>AJ486+AF486</f>
        <v/>
      </c>
      <c r="AL486" s="2">
        <f>L486*AK486</f>
        <v/>
      </c>
      <c r="AM486" s="2" t="n"/>
      <c r="AO486" s="3">
        <f>'_Настройки'!$B$5</f>
        <v/>
      </c>
      <c r="AP486" s="2">
        <f>IF(K486&gt;0;K486*AO486;0)</f>
        <v/>
      </c>
      <c r="AQ486" s="2">
        <f>L486-K486-AI486-AE486-IF(AM486&gt;0;AM486;'_Настройки'!$B$9)-AP486-AC486</f>
        <v/>
      </c>
      <c r="AR486" s="3">
        <f>IF(L486&gt;0;AQ486/L486;"")</f>
        <v/>
      </c>
      <c r="AS486" s="3">
        <f>IF(K486&gt;0;AQ486/K486;"")</f>
        <v/>
      </c>
      <c r="AT486" s="2">
        <f>L486-K486-AL486-AE486-IF(AM486&gt;0;AM486;'_Настройки'!$B$9)-AP486-AC486</f>
        <v/>
      </c>
      <c r="AU486" s="3">
        <f>IF(L486&gt;0;AT486/L486;"")</f>
        <v/>
      </c>
      <c r="AV486" s="3">
        <f>IF(K486&gt;0;AT486/K486;"")</f>
        <v/>
      </c>
    </row>
    <row r="487">
      <c r="A487">
        <f>ROW()-1</f>
        <v/>
      </c>
      <c r="K487" s="2">
        <f>IFERROR(INDEX('_Цены_закупки'!$B:$B;MATCH(C487;'_Цены_закупки'!$A:$A;0));"")</f>
        <v/>
      </c>
      <c r="L487" s="2" t="n"/>
      <c r="M487" s="2" t="n"/>
      <c r="N487" s="3">
        <f>IF(AND(M487&gt;0;L487&gt;0);1-L487/M487;"")</f>
        <v/>
      </c>
      <c r="O487" s="2">
        <f>IF(OR(Q487="";K487=0);"";(K487+IF(AM487&gt;0;AM487;'_Настройки'!$B$9)+AP487+AC487+Q487*K487)/(1-AH487-AD487))</f>
        <v/>
      </c>
      <c r="P487" s="2">
        <f>IF(O487="";"";O487-K487-O487*AH487-O487*AD487-IF(AM487&gt;0;AM487;'_Настройки'!$B$9)-AP487-AC487)</f>
        <v/>
      </c>
      <c r="Q487" s="3">
        <f>IF(AND(O487&gt;0;K487&gt;0);P487/K487;"")</f>
        <v/>
      </c>
      <c r="R487" s="2">
        <f>IF(O487="";"";O487-K487-O487*AK487-O487*AD487-IF(AM487&gt;0;AM487;'_Настройки'!$B$9)-AP487-AC487)</f>
        <v/>
      </c>
      <c r="S487" s="3">
        <f>IF(AND(O487&gt;0;K487&gt;0);R487/K487;"")</f>
        <v/>
      </c>
      <c r="T487" s="2" t="n"/>
      <c r="U487" s="3">
        <f>IF(AND(L487&gt;0;T487&gt;0);1-T487/L487;"")</f>
        <v/>
      </c>
      <c r="V487" s="3">
        <f>'_Настройки'!$B$4</f>
        <v/>
      </c>
      <c r="Z487" s="4">
        <f>IF(AND(W487&gt;0;X487&gt;0;Y487&gt;0);W487*X487*Y487/1000;"")</f>
        <v/>
      </c>
      <c r="AB487" s="2">
        <f>('_Настройки'!$B$6+MAX(0;Z487-1)*'_Настройки'!$B$7)*IF(AA487&gt;0;AA487;'_Настройки'!$B$10)</f>
        <v/>
      </c>
      <c r="AC487" s="2">
        <f>AB487*(1+'_Настройки'!$B$8)</f>
        <v/>
      </c>
      <c r="AD487" s="3">
        <f>'_Настройки'!$B$2</f>
        <v/>
      </c>
      <c r="AE487" s="2">
        <f>L487*AD487</f>
        <v/>
      </c>
      <c r="AF487" s="3">
        <f>'_Настройки'!$B$3</f>
        <v/>
      </c>
      <c r="AG487" s="3">
        <f>IFERROR(INDEX('_Комиссия_ВБ'!$B:$B;MATCH(C487;'_Комиссия_ВБ'!$A:$A;0));0,245)</f>
        <v/>
      </c>
      <c r="AH487" s="3">
        <f>AG487+AF487</f>
        <v/>
      </c>
      <c r="AI487" s="2">
        <f>L487*AH487</f>
        <v/>
      </c>
      <c r="AJ487" s="3">
        <f>IFERROR(INDEX('_Комиссия_ВБ'!$C:$C;MATCH(C487;'_Комиссия_ВБ'!$A:$A;0));0,28)</f>
        <v/>
      </c>
      <c r="AK487" s="3">
        <f>AJ487+AF487</f>
        <v/>
      </c>
      <c r="AL487" s="2">
        <f>L487*AK487</f>
        <v/>
      </c>
      <c r="AM487" s="2" t="n"/>
      <c r="AO487" s="3">
        <f>'_Настройки'!$B$5</f>
        <v/>
      </c>
      <c r="AP487" s="2">
        <f>IF(K487&gt;0;K487*AO487;0)</f>
        <v/>
      </c>
      <c r="AQ487" s="2">
        <f>L487-K487-AI487-AE487-IF(AM487&gt;0;AM487;'_Настройки'!$B$9)-AP487-AC487</f>
        <v/>
      </c>
      <c r="AR487" s="3">
        <f>IF(L487&gt;0;AQ487/L487;"")</f>
        <v/>
      </c>
      <c r="AS487" s="3">
        <f>IF(K487&gt;0;AQ487/K487;"")</f>
        <v/>
      </c>
      <c r="AT487" s="2">
        <f>L487-K487-AL487-AE487-IF(AM487&gt;0;AM487;'_Настройки'!$B$9)-AP487-AC487</f>
        <v/>
      </c>
      <c r="AU487" s="3">
        <f>IF(L487&gt;0;AT487/L487;"")</f>
        <v/>
      </c>
      <c r="AV487" s="3">
        <f>IF(K487&gt;0;AT487/K487;"")</f>
        <v/>
      </c>
    </row>
    <row r="488">
      <c r="A488">
        <f>ROW()-1</f>
        <v/>
      </c>
      <c r="K488" s="2">
        <f>IFERROR(INDEX('_Цены_закупки'!$B:$B;MATCH(C488;'_Цены_закупки'!$A:$A;0));"")</f>
        <v/>
      </c>
      <c r="L488" s="2" t="n"/>
      <c r="M488" s="2" t="n"/>
      <c r="N488" s="3">
        <f>IF(AND(M488&gt;0;L488&gt;0);1-L488/M488;"")</f>
        <v/>
      </c>
      <c r="O488" s="2">
        <f>IF(OR(Q488="";K488=0);"";(K488+IF(AM488&gt;0;AM488;'_Настройки'!$B$9)+AP488+AC488+Q488*K488)/(1-AH488-AD488))</f>
        <v/>
      </c>
      <c r="P488" s="2">
        <f>IF(O488="";"";O488-K488-O488*AH488-O488*AD488-IF(AM488&gt;0;AM488;'_Настройки'!$B$9)-AP488-AC488)</f>
        <v/>
      </c>
      <c r="Q488" s="3">
        <f>IF(AND(O488&gt;0;K488&gt;0);P488/K488;"")</f>
        <v/>
      </c>
      <c r="R488" s="2">
        <f>IF(O488="";"";O488-K488-O488*AK488-O488*AD488-IF(AM488&gt;0;AM488;'_Настройки'!$B$9)-AP488-AC488)</f>
        <v/>
      </c>
      <c r="S488" s="3">
        <f>IF(AND(O488&gt;0;K488&gt;0);R488/K488;"")</f>
        <v/>
      </c>
      <c r="T488" s="2" t="n"/>
      <c r="U488" s="3">
        <f>IF(AND(L488&gt;0;T488&gt;0);1-T488/L488;"")</f>
        <v/>
      </c>
      <c r="V488" s="3">
        <f>'_Настройки'!$B$4</f>
        <v/>
      </c>
      <c r="Z488" s="4">
        <f>IF(AND(W488&gt;0;X488&gt;0;Y488&gt;0);W488*X488*Y488/1000;"")</f>
        <v/>
      </c>
      <c r="AB488" s="2">
        <f>('_Настройки'!$B$6+MAX(0;Z488-1)*'_Настройки'!$B$7)*IF(AA488&gt;0;AA488;'_Настройки'!$B$10)</f>
        <v/>
      </c>
      <c r="AC488" s="2">
        <f>AB488*(1+'_Настройки'!$B$8)</f>
        <v/>
      </c>
      <c r="AD488" s="3">
        <f>'_Настройки'!$B$2</f>
        <v/>
      </c>
      <c r="AE488" s="2">
        <f>L488*AD488</f>
        <v/>
      </c>
      <c r="AF488" s="3">
        <f>'_Настройки'!$B$3</f>
        <v/>
      </c>
      <c r="AG488" s="3">
        <f>IFERROR(INDEX('_Комиссия_ВБ'!$B:$B;MATCH(C488;'_Комиссия_ВБ'!$A:$A;0));0,245)</f>
        <v/>
      </c>
      <c r="AH488" s="3">
        <f>AG488+AF488</f>
        <v/>
      </c>
      <c r="AI488" s="2">
        <f>L488*AH488</f>
        <v/>
      </c>
      <c r="AJ488" s="3">
        <f>IFERROR(INDEX('_Комиссия_ВБ'!$C:$C;MATCH(C488;'_Комиссия_ВБ'!$A:$A;0));0,28)</f>
        <v/>
      </c>
      <c r="AK488" s="3">
        <f>AJ488+AF488</f>
        <v/>
      </c>
      <c r="AL488" s="2">
        <f>L488*AK488</f>
        <v/>
      </c>
      <c r="AM488" s="2" t="n"/>
      <c r="AO488" s="3">
        <f>'_Настройки'!$B$5</f>
        <v/>
      </c>
      <c r="AP488" s="2">
        <f>IF(K488&gt;0;K488*AO488;0)</f>
        <v/>
      </c>
      <c r="AQ488" s="2">
        <f>L488-K488-AI488-AE488-IF(AM488&gt;0;AM488;'_Настройки'!$B$9)-AP488-AC488</f>
        <v/>
      </c>
      <c r="AR488" s="3">
        <f>IF(L488&gt;0;AQ488/L488;"")</f>
        <v/>
      </c>
      <c r="AS488" s="3">
        <f>IF(K488&gt;0;AQ488/K488;"")</f>
        <v/>
      </c>
      <c r="AT488" s="2">
        <f>L488-K488-AL488-AE488-IF(AM488&gt;0;AM488;'_Настройки'!$B$9)-AP488-AC488</f>
        <v/>
      </c>
      <c r="AU488" s="3">
        <f>IF(L488&gt;0;AT488/L488;"")</f>
        <v/>
      </c>
      <c r="AV488" s="3">
        <f>IF(K488&gt;0;AT488/K488;"")</f>
        <v/>
      </c>
    </row>
    <row r="489">
      <c r="A489">
        <f>ROW()-1</f>
        <v/>
      </c>
      <c r="K489" s="2">
        <f>IFERROR(INDEX('_Цены_закупки'!$B:$B;MATCH(C489;'_Цены_закупки'!$A:$A;0));"")</f>
        <v/>
      </c>
      <c r="L489" s="2" t="n"/>
      <c r="M489" s="2" t="n"/>
      <c r="N489" s="3">
        <f>IF(AND(M489&gt;0;L489&gt;0);1-L489/M489;"")</f>
        <v/>
      </c>
      <c r="O489" s="2">
        <f>IF(OR(Q489="";K489=0);"";(K489+IF(AM489&gt;0;AM489;'_Настройки'!$B$9)+AP489+AC489+Q489*K489)/(1-AH489-AD489))</f>
        <v/>
      </c>
      <c r="P489" s="2">
        <f>IF(O489="";"";O489-K489-O489*AH489-O489*AD489-IF(AM489&gt;0;AM489;'_Настройки'!$B$9)-AP489-AC489)</f>
        <v/>
      </c>
      <c r="Q489" s="3">
        <f>IF(AND(O489&gt;0;K489&gt;0);P489/K489;"")</f>
        <v/>
      </c>
      <c r="R489" s="2">
        <f>IF(O489="";"";O489-K489-O489*AK489-O489*AD489-IF(AM489&gt;0;AM489;'_Настройки'!$B$9)-AP489-AC489)</f>
        <v/>
      </c>
      <c r="S489" s="3">
        <f>IF(AND(O489&gt;0;K489&gt;0);R489/K489;"")</f>
        <v/>
      </c>
      <c r="T489" s="2" t="n"/>
      <c r="U489" s="3">
        <f>IF(AND(L489&gt;0;T489&gt;0);1-T489/L489;"")</f>
        <v/>
      </c>
      <c r="V489" s="3">
        <f>'_Настройки'!$B$4</f>
        <v/>
      </c>
      <c r="Z489" s="4">
        <f>IF(AND(W489&gt;0;X489&gt;0;Y489&gt;0);W489*X489*Y489/1000;"")</f>
        <v/>
      </c>
      <c r="AB489" s="2">
        <f>('_Настройки'!$B$6+MAX(0;Z489-1)*'_Настройки'!$B$7)*IF(AA489&gt;0;AA489;'_Настройки'!$B$10)</f>
        <v/>
      </c>
      <c r="AC489" s="2">
        <f>AB489*(1+'_Настройки'!$B$8)</f>
        <v/>
      </c>
      <c r="AD489" s="3">
        <f>'_Настройки'!$B$2</f>
        <v/>
      </c>
      <c r="AE489" s="2">
        <f>L489*AD489</f>
        <v/>
      </c>
      <c r="AF489" s="3">
        <f>'_Настройки'!$B$3</f>
        <v/>
      </c>
      <c r="AG489" s="3">
        <f>IFERROR(INDEX('_Комиссия_ВБ'!$B:$B;MATCH(C489;'_Комиссия_ВБ'!$A:$A;0));0,245)</f>
        <v/>
      </c>
      <c r="AH489" s="3">
        <f>AG489+AF489</f>
        <v/>
      </c>
      <c r="AI489" s="2">
        <f>L489*AH489</f>
        <v/>
      </c>
      <c r="AJ489" s="3">
        <f>IFERROR(INDEX('_Комиссия_ВБ'!$C:$C;MATCH(C489;'_Комиссия_ВБ'!$A:$A;0));0,28)</f>
        <v/>
      </c>
      <c r="AK489" s="3">
        <f>AJ489+AF489</f>
        <v/>
      </c>
      <c r="AL489" s="2">
        <f>L489*AK489</f>
        <v/>
      </c>
      <c r="AM489" s="2" t="n"/>
      <c r="AO489" s="3">
        <f>'_Настройки'!$B$5</f>
        <v/>
      </c>
      <c r="AP489" s="2">
        <f>IF(K489&gt;0;K489*AO489;0)</f>
        <v/>
      </c>
      <c r="AQ489" s="2">
        <f>L489-K489-AI489-AE489-IF(AM489&gt;0;AM489;'_Настройки'!$B$9)-AP489-AC489</f>
        <v/>
      </c>
      <c r="AR489" s="3">
        <f>IF(L489&gt;0;AQ489/L489;"")</f>
        <v/>
      </c>
      <c r="AS489" s="3">
        <f>IF(K489&gt;0;AQ489/K489;"")</f>
        <v/>
      </c>
      <c r="AT489" s="2">
        <f>L489-K489-AL489-AE489-IF(AM489&gt;0;AM489;'_Настройки'!$B$9)-AP489-AC489</f>
        <v/>
      </c>
      <c r="AU489" s="3">
        <f>IF(L489&gt;0;AT489/L489;"")</f>
        <v/>
      </c>
      <c r="AV489" s="3">
        <f>IF(K489&gt;0;AT489/K489;"")</f>
        <v/>
      </c>
    </row>
    <row r="490">
      <c r="A490">
        <f>ROW()-1</f>
        <v/>
      </c>
      <c r="K490" s="2">
        <f>IFERROR(INDEX('_Цены_закупки'!$B:$B;MATCH(C490;'_Цены_закупки'!$A:$A;0));"")</f>
        <v/>
      </c>
      <c r="L490" s="2" t="n"/>
      <c r="M490" s="2" t="n"/>
      <c r="N490" s="3">
        <f>IF(AND(M490&gt;0;L490&gt;0);1-L490/M490;"")</f>
        <v/>
      </c>
      <c r="O490" s="2">
        <f>IF(OR(Q490="";K490=0);"";(K490+IF(AM490&gt;0;AM490;'_Настройки'!$B$9)+AP490+AC490+Q490*K490)/(1-AH490-AD490))</f>
        <v/>
      </c>
      <c r="P490" s="2">
        <f>IF(O490="";"";O490-K490-O490*AH490-O490*AD490-IF(AM490&gt;0;AM490;'_Настройки'!$B$9)-AP490-AC490)</f>
        <v/>
      </c>
      <c r="Q490" s="3">
        <f>IF(AND(O490&gt;0;K490&gt;0);P490/K490;"")</f>
        <v/>
      </c>
      <c r="R490" s="2">
        <f>IF(O490="";"";O490-K490-O490*AK490-O490*AD490-IF(AM490&gt;0;AM490;'_Настройки'!$B$9)-AP490-AC490)</f>
        <v/>
      </c>
      <c r="S490" s="3">
        <f>IF(AND(O490&gt;0;K490&gt;0);R490/K490;"")</f>
        <v/>
      </c>
      <c r="T490" s="2" t="n"/>
      <c r="U490" s="3">
        <f>IF(AND(L490&gt;0;T490&gt;0);1-T490/L490;"")</f>
        <v/>
      </c>
      <c r="V490" s="3">
        <f>'_Настройки'!$B$4</f>
        <v/>
      </c>
      <c r="Z490" s="4">
        <f>IF(AND(W490&gt;0;X490&gt;0;Y490&gt;0);W490*X490*Y490/1000;"")</f>
        <v/>
      </c>
      <c r="AB490" s="2">
        <f>('_Настройки'!$B$6+MAX(0;Z490-1)*'_Настройки'!$B$7)*IF(AA490&gt;0;AA490;'_Настройки'!$B$10)</f>
        <v/>
      </c>
      <c r="AC490" s="2">
        <f>AB490*(1+'_Настройки'!$B$8)</f>
        <v/>
      </c>
      <c r="AD490" s="3">
        <f>'_Настройки'!$B$2</f>
        <v/>
      </c>
      <c r="AE490" s="2">
        <f>L490*AD490</f>
        <v/>
      </c>
      <c r="AF490" s="3">
        <f>'_Настройки'!$B$3</f>
        <v/>
      </c>
      <c r="AG490" s="3">
        <f>IFERROR(INDEX('_Комиссия_ВБ'!$B:$B;MATCH(C490;'_Комиссия_ВБ'!$A:$A;0));0,245)</f>
        <v/>
      </c>
      <c r="AH490" s="3">
        <f>AG490+AF490</f>
        <v/>
      </c>
      <c r="AI490" s="2">
        <f>L490*AH490</f>
        <v/>
      </c>
      <c r="AJ490" s="3">
        <f>IFERROR(INDEX('_Комиссия_ВБ'!$C:$C;MATCH(C490;'_Комиссия_ВБ'!$A:$A;0));0,28)</f>
        <v/>
      </c>
      <c r="AK490" s="3">
        <f>AJ490+AF490</f>
        <v/>
      </c>
      <c r="AL490" s="2">
        <f>L490*AK490</f>
        <v/>
      </c>
      <c r="AM490" s="2" t="n"/>
      <c r="AO490" s="3">
        <f>'_Настройки'!$B$5</f>
        <v/>
      </c>
      <c r="AP490" s="2">
        <f>IF(K490&gt;0;K490*AO490;0)</f>
        <v/>
      </c>
      <c r="AQ490" s="2">
        <f>L490-K490-AI490-AE490-IF(AM490&gt;0;AM490;'_Настройки'!$B$9)-AP490-AC490</f>
        <v/>
      </c>
      <c r="AR490" s="3">
        <f>IF(L490&gt;0;AQ490/L490;"")</f>
        <v/>
      </c>
      <c r="AS490" s="3">
        <f>IF(K490&gt;0;AQ490/K490;"")</f>
        <v/>
      </c>
      <c r="AT490" s="2">
        <f>L490-K490-AL490-AE490-IF(AM490&gt;0;AM490;'_Настройки'!$B$9)-AP490-AC490</f>
        <v/>
      </c>
      <c r="AU490" s="3">
        <f>IF(L490&gt;0;AT490/L490;"")</f>
        <v/>
      </c>
      <c r="AV490" s="3">
        <f>IF(K490&gt;0;AT490/K490;"")</f>
        <v/>
      </c>
    </row>
    <row r="491">
      <c r="A491">
        <f>ROW()-1</f>
        <v/>
      </c>
      <c r="K491" s="2">
        <f>IFERROR(INDEX('_Цены_закупки'!$B:$B;MATCH(C491;'_Цены_закупки'!$A:$A;0));"")</f>
        <v/>
      </c>
      <c r="L491" s="2" t="n"/>
      <c r="M491" s="2" t="n"/>
      <c r="N491" s="3">
        <f>IF(AND(M491&gt;0;L491&gt;0);1-L491/M491;"")</f>
        <v/>
      </c>
      <c r="O491" s="2">
        <f>IF(OR(Q491="";K491=0);"";(K491+IF(AM491&gt;0;AM491;'_Настройки'!$B$9)+AP491+AC491+Q491*K491)/(1-AH491-AD491))</f>
        <v/>
      </c>
      <c r="P491" s="2">
        <f>IF(O491="";"";O491-K491-O491*AH491-O491*AD491-IF(AM491&gt;0;AM491;'_Настройки'!$B$9)-AP491-AC491)</f>
        <v/>
      </c>
      <c r="Q491" s="3">
        <f>IF(AND(O491&gt;0;K491&gt;0);P491/K491;"")</f>
        <v/>
      </c>
      <c r="R491" s="2">
        <f>IF(O491="";"";O491-K491-O491*AK491-O491*AD491-IF(AM491&gt;0;AM491;'_Настройки'!$B$9)-AP491-AC491)</f>
        <v/>
      </c>
      <c r="S491" s="3">
        <f>IF(AND(O491&gt;0;K491&gt;0);R491/K491;"")</f>
        <v/>
      </c>
      <c r="T491" s="2" t="n"/>
      <c r="U491" s="3">
        <f>IF(AND(L491&gt;0;T491&gt;0);1-T491/L491;"")</f>
        <v/>
      </c>
      <c r="V491" s="3">
        <f>'_Настройки'!$B$4</f>
        <v/>
      </c>
      <c r="Z491" s="4">
        <f>IF(AND(W491&gt;0;X491&gt;0;Y491&gt;0);W491*X491*Y491/1000;"")</f>
        <v/>
      </c>
      <c r="AB491" s="2">
        <f>('_Настройки'!$B$6+MAX(0;Z491-1)*'_Настройки'!$B$7)*IF(AA491&gt;0;AA491;'_Настройки'!$B$10)</f>
        <v/>
      </c>
      <c r="AC491" s="2">
        <f>AB491*(1+'_Настройки'!$B$8)</f>
        <v/>
      </c>
      <c r="AD491" s="3">
        <f>'_Настройки'!$B$2</f>
        <v/>
      </c>
      <c r="AE491" s="2">
        <f>L491*AD491</f>
        <v/>
      </c>
      <c r="AF491" s="3">
        <f>'_Настройки'!$B$3</f>
        <v/>
      </c>
      <c r="AG491" s="3">
        <f>IFERROR(INDEX('_Комиссия_ВБ'!$B:$B;MATCH(C491;'_Комиссия_ВБ'!$A:$A;0));0,245)</f>
        <v/>
      </c>
      <c r="AH491" s="3">
        <f>AG491+AF491</f>
        <v/>
      </c>
      <c r="AI491" s="2">
        <f>L491*AH491</f>
        <v/>
      </c>
      <c r="AJ491" s="3">
        <f>IFERROR(INDEX('_Комиссия_ВБ'!$C:$C;MATCH(C491;'_Комиссия_ВБ'!$A:$A;0));0,28)</f>
        <v/>
      </c>
      <c r="AK491" s="3">
        <f>AJ491+AF491</f>
        <v/>
      </c>
      <c r="AL491" s="2">
        <f>L491*AK491</f>
        <v/>
      </c>
      <c r="AM491" s="2" t="n"/>
      <c r="AO491" s="3">
        <f>'_Настройки'!$B$5</f>
        <v/>
      </c>
      <c r="AP491" s="2">
        <f>IF(K491&gt;0;K491*AO491;0)</f>
        <v/>
      </c>
      <c r="AQ491" s="2">
        <f>L491-K491-AI491-AE491-IF(AM491&gt;0;AM491;'_Настройки'!$B$9)-AP491-AC491</f>
        <v/>
      </c>
      <c r="AR491" s="3">
        <f>IF(L491&gt;0;AQ491/L491;"")</f>
        <v/>
      </c>
      <c r="AS491" s="3">
        <f>IF(K491&gt;0;AQ491/K491;"")</f>
        <v/>
      </c>
      <c r="AT491" s="2">
        <f>L491-K491-AL491-AE491-IF(AM491&gt;0;AM491;'_Настройки'!$B$9)-AP491-AC491</f>
        <v/>
      </c>
      <c r="AU491" s="3">
        <f>IF(L491&gt;0;AT491/L491;"")</f>
        <v/>
      </c>
      <c r="AV491" s="3">
        <f>IF(K491&gt;0;AT491/K491;"")</f>
        <v/>
      </c>
    </row>
    <row r="492">
      <c r="A492">
        <f>ROW()-1</f>
        <v/>
      </c>
      <c r="K492" s="2">
        <f>IFERROR(INDEX('_Цены_закупки'!$B:$B;MATCH(C492;'_Цены_закупки'!$A:$A;0));"")</f>
        <v/>
      </c>
      <c r="L492" s="2" t="n"/>
      <c r="M492" s="2" t="n"/>
      <c r="N492" s="3">
        <f>IF(AND(M492&gt;0;L492&gt;0);1-L492/M492;"")</f>
        <v/>
      </c>
      <c r="O492" s="2">
        <f>IF(OR(Q492="";K492=0);"";(K492+IF(AM492&gt;0;AM492;'_Настройки'!$B$9)+AP492+AC492+Q492*K492)/(1-AH492-AD492))</f>
        <v/>
      </c>
      <c r="P492" s="2">
        <f>IF(O492="";"";O492-K492-O492*AH492-O492*AD492-IF(AM492&gt;0;AM492;'_Настройки'!$B$9)-AP492-AC492)</f>
        <v/>
      </c>
      <c r="Q492" s="3">
        <f>IF(AND(O492&gt;0;K492&gt;0);P492/K492;"")</f>
        <v/>
      </c>
      <c r="R492" s="2">
        <f>IF(O492="";"";O492-K492-O492*AK492-O492*AD492-IF(AM492&gt;0;AM492;'_Настройки'!$B$9)-AP492-AC492)</f>
        <v/>
      </c>
      <c r="S492" s="3">
        <f>IF(AND(O492&gt;0;K492&gt;0);R492/K492;"")</f>
        <v/>
      </c>
      <c r="T492" s="2" t="n"/>
      <c r="U492" s="3">
        <f>IF(AND(L492&gt;0;T492&gt;0);1-T492/L492;"")</f>
        <v/>
      </c>
      <c r="V492" s="3">
        <f>'_Настройки'!$B$4</f>
        <v/>
      </c>
      <c r="Z492" s="4">
        <f>IF(AND(W492&gt;0;X492&gt;0;Y492&gt;0);W492*X492*Y492/1000;"")</f>
        <v/>
      </c>
      <c r="AB492" s="2">
        <f>('_Настройки'!$B$6+MAX(0;Z492-1)*'_Настройки'!$B$7)*IF(AA492&gt;0;AA492;'_Настройки'!$B$10)</f>
        <v/>
      </c>
      <c r="AC492" s="2">
        <f>AB492*(1+'_Настройки'!$B$8)</f>
        <v/>
      </c>
      <c r="AD492" s="3">
        <f>'_Настройки'!$B$2</f>
        <v/>
      </c>
      <c r="AE492" s="2">
        <f>L492*AD492</f>
        <v/>
      </c>
      <c r="AF492" s="3">
        <f>'_Настройки'!$B$3</f>
        <v/>
      </c>
      <c r="AG492" s="3">
        <f>IFERROR(INDEX('_Комиссия_ВБ'!$B:$B;MATCH(C492;'_Комиссия_ВБ'!$A:$A;0));0,245)</f>
        <v/>
      </c>
      <c r="AH492" s="3">
        <f>AG492+AF492</f>
        <v/>
      </c>
      <c r="AI492" s="2">
        <f>L492*AH492</f>
        <v/>
      </c>
      <c r="AJ492" s="3">
        <f>IFERROR(INDEX('_Комиссия_ВБ'!$C:$C;MATCH(C492;'_Комиссия_ВБ'!$A:$A;0));0,28)</f>
        <v/>
      </c>
      <c r="AK492" s="3">
        <f>AJ492+AF492</f>
        <v/>
      </c>
      <c r="AL492" s="2">
        <f>L492*AK492</f>
        <v/>
      </c>
      <c r="AM492" s="2" t="n"/>
      <c r="AO492" s="3">
        <f>'_Настройки'!$B$5</f>
        <v/>
      </c>
      <c r="AP492" s="2">
        <f>IF(K492&gt;0;K492*AO492;0)</f>
        <v/>
      </c>
      <c r="AQ492" s="2">
        <f>L492-K492-AI492-AE492-IF(AM492&gt;0;AM492;'_Настройки'!$B$9)-AP492-AC492</f>
        <v/>
      </c>
      <c r="AR492" s="3">
        <f>IF(L492&gt;0;AQ492/L492;"")</f>
        <v/>
      </c>
      <c r="AS492" s="3">
        <f>IF(K492&gt;0;AQ492/K492;"")</f>
        <v/>
      </c>
      <c r="AT492" s="2">
        <f>L492-K492-AL492-AE492-IF(AM492&gt;0;AM492;'_Настройки'!$B$9)-AP492-AC492</f>
        <v/>
      </c>
      <c r="AU492" s="3">
        <f>IF(L492&gt;0;AT492/L492;"")</f>
        <v/>
      </c>
      <c r="AV492" s="3">
        <f>IF(K492&gt;0;AT492/K492;"")</f>
        <v/>
      </c>
    </row>
    <row r="493">
      <c r="A493">
        <f>ROW()-1</f>
        <v/>
      </c>
      <c r="K493" s="2">
        <f>IFERROR(INDEX('_Цены_закупки'!$B:$B;MATCH(C493;'_Цены_закупки'!$A:$A;0));"")</f>
        <v/>
      </c>
      <c r="L493" s="2" t="n"/>
      <c r="M493" s="2" t="n"/>
      <c r="N493" s="3">
        <f>IF(AND(M493&gt;0;L493&gt;0);1-L493/M493;"")</f>
        <v/>
      </c>
      <c r="O493" s="2">
        <f>IF(OR(Q493="";K493=0);"";(K493+IF(AM493&gt;0;AM493;'_Настройки'!$B$9)+AP493+AC493+Q493*K493)/(1-AH493-AD493))</f>
        <v/>
      </c>
      <c r="P493" s="2">
        <f>IF(O493="";"";O493-K493-O493*AH493-O493*AD493-IF(AM493&gt;0;AM493;'_Настройки'!$B$9)-AP493-AC493)</f>
        <v/>
      </c>
      <c r="Q493" s="3">
        <f>IF(AND(O493&gt;0;K493&gt;0);P493/K493;"")</f>
        <v/>
      </c>
      <c r="R493" s="2">
        <f>IF(O493="";"";O493-K493-O493*AK493-O493*AD493-IF(AM493&gt;0;AM493;'_Настройки'!$B$9)-AP493-AC493)</f>
        <v/>
      </c>
      <c r="S493" s="3">
        <f>IF(AND(O493&gt;0;K493&gt;0);R493/K493;"")</f>
        <v/>
      </c>
      <c r="T493" s="2" t="n"/>
      <c r="U493" s="3">
        <f>IF(AND(L493&gt;0;T493&gt;0);1-T493/L493;"")</f>
        <v/>
      </c>
      <c r="V493" s="3">
        <f>'_Настройки'!$B$4</f>
        <v/>
      </c>
      <c r="Z493" s="4">
        <f>IF(AND(W493&gt;0;X493&gt;0;Y493&gt;0);W493*X493*Y493/1000;"")</f>
        <v/>
      </c>
      <c r="AB493" s="2">
        <f>('_Настройки'!$B$6+MAX(0;Z493-1)*'_Настройки'!$B$7)*IF(AA493&gt;0;AA493;'_Настройки'!$B$10)</f>
        <v/>
      </c>
      <c r="AC493" s="2">
        <f>AB493*(1+'_Настройки'!$B$8)</f>
        <v/>
      </c>
      <c r="AD493" s="3">
        <f>'_Настройки'!$B$2</f>
        <v/>
      </c>
      <c r="AE493" s="2">
        <f>L493*AD493</f>
        <v/>
      </c>
      <c r="AF493" s="3">
        <f>'_Настройки'!$B$3</f>
        <v/>
      </c>
      <c r="AG493" s="3">
        <f>IFERROR(INDEX('_Комиссия_ВБ'!$B:$B;MATCH(C493;'_Комиссия_ВБ'!$A:$A;0));0,245)</f>
        <v/>
      </c>
      <c r="AH493" s="3">
        <f>AG493+AF493</f>
        <v/>
      </c>
      <c r="AI493" s="2">
        <f>L493*AH493</f>
        <v/>
      </c>
      <c r="AJ493" s="3">
        <f>IFERROR(INDEX('_Комиссия_ВБ'!$C:$C;MATCH(C493;'_Комиссия_ВБ'!$A:$A;0));0,28)</f>
        <v/>
      </c>
      <c r="AK493" s="3">
        <f>AJ493+AF493</f>
        <v/>
      </c>
      <c r="AL493" s="2">
        <f>L493*AK493</f>
        <v/>
      </c>
      <c r="AM493" s="2" t="n"/>
      <c r="AO493" s="3">
        <f>'_Настройки'!$B$5</f>
        <v/>
      </c>
      <c r="AP493" s="2">
        <f>IF(K493&gt;0;K493*AO493;0)</f>
        <v/>
      </c>
      <c r="AQ493" s="2">
        <f>L493-K493-AI493-AE493-IF(AM493&gt;0;AM493;'_Настройки'!$B$9)-AP493-AC493</f>
        <v/>
      </c>
      <c r="AR493" s="3">
        <f>IF(L493&gt;0;AQ493/L493;"")</f>
        <v/>
      </c>
      <c r="AS493" s="3">
        <f>IF(K493&gt;0;AQ493/K493;"")</f>
        <v/>
      </c>
      <c r="AT493" s="2">
        <f>L493-K493-AL493-AE493-IF(AM493&gt;0;AM493;'_Настройки'!$B$9)-AP493-AC493</f>
        <v/>
      </c>
      <c r="AU493" s="3">
        <f>IF(L493&gt;0;AT493/L493;"")</f>
        <v/>
      </c>
      <c r="AV493" s="3">
        <f>IF(K493&gt;0;AT493/K493;"")</f>
        <v/>
      </c>
    </row>
    <row r="494">
      <c r="A494">
        <f>ROW()-1</f>
        <v/>
      </c>
      <c r="K494" s="2">
        <f>IFERROR(INDEX('_Цены_закупки'!$B:$B;MATCH(C494;'_Цены_закупки'!$A:$A;0));"")</f>
        <v/>
      </c>
      <c r="L494" s="2" t="n"/>
      <c r="M494" s="2" t="n"/>
      <c r="N494" s="3">
        <f>IF(AND(M494&gt;0;L494&gt;0);1-L494/M494;"")</f>
        <v/>
      </c>
      <c r="O494" s="2">
        <f>IF(OR(Q494="";K494=0);"";(K494+IF(AM494&gt;0;AM494;'_Настройки'!$B$9)+AP494+AC494+Q494*K494)/(1-AH494-AD494))</f>
        <v/>
      </c>
      <c r="P494" s="2">
        <f>IF(O494="";"";O494-K494-O494*AH494-O494*AD494-IF(AM494&gt;0;AM494;'_Настройки'!$B$9)-AP494-AC494)</f>
        <v/>
      </c>
      <c r="Q494" s="3">
        <f>IF(AND(O494&gt;0;K494&gt;0);P494/K494;"")</f>
        <v/>
      </c>
      <c r="R494" s="2">
        <f>IF(O494="";"";O494-K494-O494*AK494-O494*AD494-IF(AM494&gt;0;AM494;'_Настройки'!$B$9)-AP494-AC494)</f>
        <v/>
      </c>
      <c r="S494" s="3">
        <f>IF(AND(O494&gt;0;K494&gt;0);R494/K494;"")</f>
        <v/>
      </c>
      <c r="T494" s="2" t="n"/>
      <c r="U494" s="3">
        <f>IF(AND(L494&gt;0;T494&gt;0);1-T494/L494;"")</f>
        <v/>
      </c>
      <c r="V494" s="3">
        <f>'_Настройки'!$B$4</f>
        <v/>
      </c>
      <c r="Z494" s="4">
        <f>IF(AND(W494&gt;0;X494&gt;0;Y494&gt;0);W494*X494*Y494/1000;"")</f>
        <v/>
      </c>
      <c r="AB494" s="2">
        <f>('_Настройки'!$B$6+MAX(0;Z494-1)*'_Настройки'!$B$7)*IF(AA494&gt;0;AA494;'_Настройки'!$B$10)</f>
        <v/>
      </c>
      <c r="AC494" s="2">
        <f>AB494*(1+'_Настройки'!$B$8)</f>
        <v/>
      </c>
      <c r="AD494" s="3">
        <f>'_Настройки'!$B$2</f>
        <v/>
      </c>
      <c r="AE494" s="2">
        <f>L494*AD494</f>
        <v/>
      </c>
      <c r="AF494" s="3">
        <f>'_Настройки'!$B$3</f>
        <v/>
      </c>
      <c r="AG494" s="3">
        <f>IFERROR(INDEX('_Комиссия_ВБ'!$B:$B;MATCH(C494;'_Комиссия_ВБ'!$A:$A;0));0,245)</f>
        <v/>
      </c>
      <c r="AH494" s="3">
        <f>AG494+AF494</f>
        <v/>
      </c>
      <c r="AI494" s="2">
        <f>L494*AH494</f>
        <v/>
      </c>
      <c r="AJ494" s="3">
        <f>IFERROR(INDEX('_Комиссия_ВБ'!$C:$C;MATCH(C494;'_Комиссия_ВБ'!$A:$A;0));0,28)</f>
        <v/>
      </c>
      <c r="AK494" s="3">
        <f>AJ494+AF494</f>
        <v/>
      </c>
      <c r="AL494" s="2">
        <f>L494*AK494</f>
        <v/>
      </c>
      <c r="AM494" s="2" t="n"/>
      <c r="AO494" s="3">
        <f>'_Настройки'!$B$5</f>
        <v/>
      </c>
      <c r="AP494" s="2">
        <f>IF(K494&gt;0;K494*AO494;0)</f>
        <v/>
      </c>
      <c r="AQ494" s="2">
        <f>L494-K494-AI494-AE494-IF(AM494&gt;0;AM494;'_Настройки'!$B$9)-AP494-AC494</f>
        <v/>
      </c>
      <c r="AR494" s="3">
        <f>IF(L494&gt;0;AQ494/L494;"")</f>
        <v/>
      </c>
      <c r="AS494" s="3">
        <f>IF(K494&gt;0;AQ494/K494;"")</f>
        <v/>
      </c>
      <c r="AT494" s="2">
        <f>L494-K494-AL494-AE494-IF(AM494&gt;0;AM494;'_Настройки'!$B$9)-AP494-AC494</f>
        <v/>
      </c>
      <c r="AU494" s="3">
        <f>IF(L494&gt;0;AT494/L494;"")</f>
        <v/>
      </c>
      <c r="AV494" s="3">
        <f>IF(K494&gt;0;AT494/K494;"")</f>
        <v/>
      </c>
    </row>
    <row r="495">
      <c r="A495">
        <f>ROW()-1</f>
        <v/>
      </c>
      <c r="K495" s="2">
        <f>IFERROR(INDEX('_Цены_закупки'!$B:$B;MATCH(C495;'_Цены_закупки'!$A:$A;0));"")</f>
        <v/>
      </c>
      <c r="L495" s="2" t="n"/>
      <c r="M495" s="2" t="n"/>
      <c r="N495" s="3">
        <f>IF(AND(M495&gt;0;L495&gt;0);1-L495/M495;"")</f>
        <v/>
      </c>
      <c r="O495" s="2">
        <f>IF(OR(Q495="";K495=0);"";(K495+IF(AM495&gt;0;AM495;'_Настройки'!$B$9)+AP495+AC495+Q495*K495)/(1-AH495-AD495))</f>
        <v/>
      </c>
      <c r="P495" s="2">
        <f>IF(O495="";"";O495-K495-O495*AH495-O495*AD495-IF(AM495&gt;0;AM495;'_Настройки'!$B$9)-AP495-AC495)</f>
        <v/>
      </c>
      <c r="Q495" s="3">
        <f>IF(AND(O495&gt;0;K495&gt;0);P495/K495;"")</f>
        <v/>
      </c>
      <c r="R495" s="2">
        <f>IF(O495="";"";O495-K495-O495*AK495-O495*AD495-IF(AM495&gt;0;AM495;'_Настройки'!$B$9)-AP495-AC495)</f>
        <v/>
      </c>
      <c r="S495" s="3">
        <f>IF(AND(O495&gt;0;K495&gt;0);R495/K495;"")</f>
        <v/>
      </c>
      <c r="T495" s="2" t="n"/>
      <c r="U495" s="3">
        <f>IF(AND(L495&gt;0;T495&gt;0);1-T495/L495;"")</f>
        <v/>
      </c>
      <c r="V495" s="3">
        <f>'_Настройки'!$B$4</f>
        <v/>
      </c>
      <c r="Z495" s="4">
        <f>IF(AND(W495&gt;0;X495&gt;0;Y495&gt;0);W495*X495*Y495/1000;"")</f>
        <v/>
      </c>
      <c r="AB495" s="2">
        <f>('_Настройки'!$B$6+MAX(0;Z495-1)*'_Настройки'!$B$7)*IF(AA495&gt;0;AA495;'_Настройки'!$B$10)</f>
        <v/>
      </c>
      <c r="AC495" s="2">
        <f>AB495*(1+'_Настройки'!$B$8)</f>
        <v/>
      </c>
      <c r="AD495" s="3">
        <f>'_Настройки'!$B$2</f>
        <v/>
      </c>
      <c r="AE495" s="2">
        <f>L495*AD495</f>
        <v/>
      </c>
      <c r="AF495" s="3">
        <f>'_Настройки'!$B$3</f>
        <v/>
      </c>
      <c r="AG495" s="3">
        <f>IFERROR(INDEX('_Комиссия_ВБ'!$B:$B;MATCH(C495;'_Комиссия_ВБ'!$A:$A;0));0,245)</f>
        <v/>
      </c>
      <c r="AH495" s="3">
        <f>AG495+AF495</f>
        <v/>
      </c>
      <c r="AI495" s="2">
        <f>L495*AH495</f>
        <v/>
      </c>
      <c r="AJ495" s="3">
        <f>IFERROR(INDEX('_Комиссия_ВБ'!$C:$C;MATCH(C495;'_Комиссия_ВБ'!$A:$A;0));0,28)</f>
        <v/>
      </c>
      <c r="AK495" s="3">
        <f>AJ495+AF495</f>
        <v/>
      </c>
      <c r="AL495" s="2">
        <f>L495*AK495</f>
        <v/>
      </c>
      <c r="AM495" s="2" t="n"/>
      <c r="AO495" s="3">
        <f>'_Настройки'!$B$5</f>
        <v/>
      </c>
      <c r="AP495" s="2">
        <f>IF(K495&gt;0;K495*AO495;0)</f>
        <v/>
      </c>
      <c r="AQ495" s="2">
        <f>L495-K495-AI495-AE495-IF(AM495&gt;0;AM495;'_Настройки'!$B$9)-AP495-AC495</f>
        <v/>
      </c>
      <c r="AR495" s="3">
        <f>IF(L495&gt;0;AQ495/L495;"")</f>
        <v/>
      </c>
      <c r="AS495" s="3">
        <f>IF(K495&gt;0;AQ495/K495;"")</f>
        <v/>
      </c>
      <c r="AT495" s="2">
        <f>L495-K495-AL495-AE495-IF(AM495&gt;0;AM495;'_Настройки'!$B$9)-AP495-AC495</f>
        <v/>
      </c>
      <c r="AU495" s="3">
        <f>IF(L495&gt;0;AT495/L495;"")</f>
        <v/>
      </c>
      <c r="AV495" s="3">
        <f>IF(K495&gt;0;AT495/K495;"")</f>
        <v/>
      </c>
    </row>
    <row r="496">
      <c r="A496">
        <f>ROW()-1</f>
        <v/>
      </c>
      <c r="K496" s="2">
        <f>IFERROR(INDEX('_Цены_закупки'!$B:$B;MATCH(C496;'_Цены_закупки'!$A:$A;0));"")</f>
        <v/>
      </c>
      <c r="L496" s="2" t="n"/>
      <c r="M496" s="2" t="n"/>
      <c r="N496" s="3">
        <f>IF(AND(M496&gt;0;L496&gt;0);1-L496/M496;"")</f>
        <v/>
      </c>
      <c r="O496" s="2">
        <f>IF(OR(Q496="";K496=0);"";(K496+IF(AM496&gt;0;AM496;'_Настройки'!$B$9)+AP496+AC496+Q496*K496)/(1-AH496-AD496))</f>
        <v/>
      </c>
      <c r="P496" s="2">
        <f>IF(O496="";"";O496-K496-O496*AH496-O496*AD496-IF(AM496&gt;0;AM496;'_Настройки'!$B$9)-AP496-AC496)</f>
        <v/>
      </c>
      <c r="Q496" s="3">
        <f>IF(AND(O496&gt;0;K496&gt;0);P496/K496;"")</f>
        <v/>
      </c>
      <c r="R496" s="2">
        <f>IF(O496="";"";O496-K496-O496*AK496-O496*AD496-IF(AM496&gt;0;AM496;'_Настройки'!$B$9)-AP496-AC496)</f>
        <v/>
      </c>
      <c r="S496" s="3">
        <f>IF(AND(O496&gt;0;K496&gt;0);R496/K496;"")</f>
        <v/>
      </c>
      <c r="T496" s="2" t="n"/>
      <c r="U496" s="3">
        <f>IF(AND(L496&gt;0;T496&gt;0);1-T496/L496;"")</f>
        <v/>
      </c>
      <c r="V496" s="3">
        <f>'_Настройки'!$B$4</f>
        <v/>
      </c>
      <c r="Z496" s="4">
        <f>IF(AND(W496&gt;0;X496&gt;0;Y496&gt;0);W496*X496*Y496/1000;"")</f>
        <v/>
      </c>
      <c r="AB496" s="2">
        <f>('_Настройки'!$B$6+MAX(0;Z496-1)*'_Настройки'!$B$7)*IF(AA496&gt;0;AA496;'_Настройки'!$B$10)</f>
        <v/>
      </c>
      <c r="AC496" s="2">
        <f>AB496*(1+'_Настройки'!$B$8)</f>
        <v/>
      </c>
      <c r="AD496" s="3">
        <f>'_Настройки'!$B$2</f>
        <v/>
      </c>
      <c r="AE496" s="2">
        <f>L496*AD496</f>
        <v/>
      </c>
      <c r="AF496" s="3">
        <f>'_Настройки'!$B$3</f>
        <v/>
      </c>
      <c r="AG496" s="3">
        <f>IFERROR(INDEX('_Комиссия_ВБ'!$B:$B;MATCH(C496;'_Комиссия_ВБ'!$A:$A;0));0,245)</f>
        <v/>
      </c>
      <c r="AH496" s="3">
        <f>AG496+AF496</f>
        <v/>
      </c>
      <c r="AI496" s="2">
        <f>L496*AH496</f>
        <v/>
      </c>
      <c r="AJ496" s="3">
        <f>IFERROR(INDEX('_Комиссия_ВБ'!$C:$C;MATCH(C496;'_Комиссия_ВБ'!$A:$A;0));0,28)</f>
        <v/>
      </c>
      <c r="AK496" s="3">
        <f>AJ496+AF496</f>
        <v/>
      </c>
      <c r="AL496" s="2">
        <f>L496*AK496</f>
        <v/>
      </c>
      <c r="AM496" s="2" t="n"/>
      <c r="AO496" s="3">
        <f>'_Настройки'!$B$5</f>
        <v/>
      </c>
      <c r="AP496" s="2">
        <f>IF(K496&gt;0;K496*AO496;0)</f>
        <v/>
      </c>
      <c r="AQ496" s="2">
        <f>L496-K496-AI496-AE496-IF(AM496&gt;0;AM496;'_Настройки'!$B$9)-AP496-AC496</f>
        <v/>
      </c>
      <c r="AR496" s="3">
        <f>IF(L496&gt;0;AQ496/L496;"")</f>
        <v/>
      </c>
      <c r="AS496" s="3">
        <f>IF(K496&gt;0;AQ496/K496;"")</f>
        <v/>
      </c>
      <c r="AT496" s="2">
        <f>L496-K496-AL496-AE496-IF(AM496&gt;0;AM496;'_Настройки'!$B$9)-AP496-AC496</f>
        <v/>
      </c>
      <c r="AU496" s="3">
        <f>IF(L496&gt;0;AT496/L496;"")</f>
        <v/>
      </c>
      <c r="AV496" s="3">
        <f>IF(K496&gt;0;AT496/K496;"")</f>
        <v/>
      </c>
    </row>
    <row r="497">
      <c r="A497">
        <f>ROW()-1</f>
        <v/>
      </c>
      <c r="K497" s="2">
        <f>IFERROR(INDEX('_Цены_закупки'!$B:$B;MATCH(C497;'_Цены_закупки'!$A:$A;0));"")</f>
        <v/>
      </c>
      <c r="L497" s="2" t="n"/>
      <c r="M497" s="2" t="n"/>
      <c r="N497" s="3">
        <f>IF(AND(M497&gt;0;L497&gt;0);1-L497/M497;"")</f>
        <v/>
      </c>
      <c r="O497" s="2">
        <f>IF(OR(Q497="";K497=0);"";(K497+IF(AM497&gt;0;AM497;'_Настройки'!$B$9)+AP497+AC497+Q497*K497)/(1-AH497-AD497))</f>
        <v/>
      </c>
      <c r="P497" s="2">
        <f>IF(O497="";"";O497-K497-O497*AH497-O497*AD497-IF(AM497&gt;0;AM497;'_Настройки'!$B$9)-AP497-AC497)</f>
        <v/>
      </c>
      <c r="Q497" s="3">
        <f>IF(AND(O497&gt;0;K497&gt;0);P497/K497;"")</f>
        <v/>
      </c>
      <c r="R497" s="2">
        <f>IF(O497="";"";O497-K497-O497*AK497-O497*AD497-IF(AM497&gt;0;AM497;'_Настройки'!$B$9)-AP497-AC497)</f>
        <v/>
      </c>
      <c r="S497" s="3">
        <f>IF(AND(O497&gt;0;K497&gt;0);R497/K497;"")</f>
        <v/>
      </c>
      <c r="T497" s="2" t="n"/>
      <c r="U497" s="3">
        <f>IF(AND(L497&gt;0;T497&gt;0);1-T497/L497;"")</f>
        <v/>
      </c>
      <c r="V497" s="3">
        <f>'_Настройки'!$B$4</f>
        <v/>
      </c>
      <c r="Z497" s="4">
        <f>IF(AND(W497&gt;0;X497&gt;0;Y497&gt;0);W497*X497*Y497/1000;"")</f>
        <v/>
      </c>
      <c r="AB497" s="2">
        <f>('_Настройки'!$B$6+MAX(0;Z497-1)*'_Настройки'!$B$7)*IF(AA497&gt;0;AA497;'_Настройки'!$B$10)</f>
        <v/>
      </c>
      <c r="AC497" s="2">
        <f>AB497*(1+'_Настройки'!$B$8)</f>
        <v/>
      </c>
      <c r="AD497" s="3">
        <f>'_Настройки'!$B$2</f>
        <v/>
      </c>
      <c r="AE497" s="2">
        <f>L497*AD497</f>
        <v/>
      </c>
      <c r="AF497" s="3">
        <f>'_Настройки'!$B$3</f>
        <v/>
      </c>
      <c r="AG497" s="3">
        <f>IFERROR(INDEX('_Комиссия_ВБ'!$B:$B;MATCH(C497;'_Комиссия_ВБ'!$A:$A;0));0,245)</f>
        <v/>
      </c>
      <c r="AH497" s="3">
        <f>AG497+AF497</f>
        <v/>
      </c>
      <c r="AI497" s="2">
        <f>L497*AH497</f>
        <v/>
      </c>
      <c r="AJ497" s="3">
        <f>IFERROR(INDEX('_Комиссия_ВБ'!$C:$C;MATCH(C497;'_Комиссия_ВБ'!$A:$A;0));0,28)</f>
        <v/>
      </c>
      <c r="AK497" s="3">
        <f>AJ497+AF497</f>
        <v/>
      </c>
      <c r="AL497" s="2">
        <f>L497*AK497</f>
        <v/>
      </c>
      <c r="AM497" s="2" t="n"/>
      <c r="AO497" s="3">
        <f>'_Настройки'!$B$5</f>
        <v/>
      </c>
      <c r="AP497" s="2">
        <f>IF(K497&gt;0;K497*AO497;0)</f>
        <v/>
      </c>
      <c r="AQ497" s="2">
        <f>L497-K497-AI497-AE497-IF(AM497&gt;0;AM497;'_Настройки'!$B$9)-AP497-AC497</f>
        <v/>
      </c>
      <c r="AR497" s="3">
        <f>IF(L497&gt;0;AQ497/L497;"")</f>
        <v/>
      </c>
      <c r="AS497" s="3">
        <f>IF(K497&gt;0;AQ497/K497;"")</f>
        <v/>
      </c>
      <c r="AT497" s="2">
        <f>L497-K497-AL497-AE497-IF(AM497&gt;0;AM497;'_Настройки'!$B$9)-AP497-AC497</f>
        <v/>
      </c>
      <c r="AU497" s="3">
        <f>IF(L497&gt;0;AT497/L497;"")</f>
        <v/>
      </c>
      <c r="AV497" s="3">
        <f>IF(K497&gt;0;AT497/K497;"")</f>
        <v/>
      </c>
    </row>
    <row r="498">
      <c r="A498">
        <f>ROW()-1</f>
        <v/>
      </c>
      <c r="K498" s="2">
        <f>IFERROR(INDEX('_Цены_закупки'!$B:$B;MATCH(C498;'_Цены_закупки'!$A:$A;0));"")</f>
        <v/>
      </c>
      <c r="L498" s="2" t="n"/>
      <c r="M498" s="2" t="n"/>
      <c r="N498" s="3">
        <f>IF(AND(M498&gt;0;L498&gt;0);1-L498/M498;"")</f>
        <v/>
      </c>
      <c r="O498" s="2">
        <f>IF(OR(Q498="";K498=0);"";(K498+IF(AM498&gt;0;AM498;'_Настройки'!$B$9)+AP498+AC498+Q498*K498)/(1-AH498-AD498))</f>
        <v/>
      </c>
      <c r="P498" s="2">
        <f>IF(O498="";"";O498-K498-O498*AH498-O498*AD498-IF(AM498&gt;0;AM498;'_Настройки'!$B$9)-AP498-AC498)</f>
        <v/>
      </c>
      <c r="Q498" s="3">
        <f>IF(AND(O498&gt;0;K498&gt;0);P498/K498;"")</f>
        <v/>
      </c>
      <c r="R498" s="2">
        <f>IF(O498="";"";O498-K498-O498*AK498-O498*AD498-IF(AM498&gt;0;AM498;'_Настройки'!$B$9)-AP498-AC498)</f>
        <v/>
      </c>
      <c r="S498" s="3">
        <f>IF(AND(O498&gt;0;K498&gt;0);R498/K498;"")</f>
        <v/>
      </c>
      <c r="T498" s="2" t="n"/>
      <c r="U498" s="3">
        <f>IF(AND(L498&gt;0;T498&gt;0);1-T498/L498;"")</f>
        <v/>
      </c>
      <c r="V498" s="3">
        <f>'_Настройки'!$B$4</f>
        <v/>
      </c>
      <c r="Z498" s="4">
        <f>IF(AND(W498&gt;0;X498&gt;0;Y498&gt;0);W498*X498*Y498/1000;"")</f>
        <v/>
      </c>
      <c r="AB498" s="2">
        <f>('_Настройки'!$B$6+MAX(0;Z498-1)*'_Настройки'!$B$7)*IF(AA498&gt;0;AA498;'_Настройки'!$B$10)</f>
        <v/>
      </c>
      <c r="AC498" s="2">
        <f>AB498*(1+'_Настройки'!$B$8)</f>
        <v/>
      </c>
      <c r="AD498" s="3">
        <f>'_Настройки'!$B$2</f>
        <v/>
      </c>
      <c r="AE498" s="2">
        <f>L498*AD498</f>
        <v/>
      </c>
      <c r="AF498" s="3">
        <f>'_Настройки'!$B$3</f>
        <v/>
      </c>
      <c r="AG498" s="3">
        <f>IFERROR(INDEX('_Комиссия_ВБ'!$B:$B;MATCH(C498;'_Комиссия_ВБ'!$A:$A;0));0,245)</f>
        <v/>
      </c>
      <c r="AH498" s="3">
        <f>AG498+AF498</f>
        <v/>
      </c>
      <c r="AI498" s="2">
        <f>L498*AH498</f>
        <v/>
      </c>
      <c r="AJ498" s="3">
        <f>IFERROR(INDEX('_Комиссия_ВБ'!$C:$C;MATCH(C498;'_Комиссия_ВБ'!$A:$A;0));0,28)</f>
        <v/>
      </c>
      <c r="AK498" s="3">
        <f>AJ498+AF498</f>
        <v/>
      </c>
      <c r="AL498" s="2">
        <f>L498*AK498</f>
        <v/>
      </c>
      <c r="AM498" s="2" t="n"/>
      <c r="AO498" s="3">
        <f>'_Настройки'!$B$5</f>
        <v/>
      </c>
      <c r="AP498" s="2">
        <f>IF(K498&gt;0;K498*AO498;0)</f>
        <v/>
      </c>
      <c r="AQ498" s="2">
        <f>L498-K498-AI498-AE498-IF(AM498&gt;0;AM498;'_Настройки'!$B$9)-AP498-AC498</f>
        <v/>
      </c>
      <c r="AR498" s="3">
        <f>IF(L498&gt;0;AQ498/L498;"")</f>
        <v/>
      </c>
      <c r="AS498" s="3">
        <f>IF(K498&gt;0;AQ498/K498;"")</f>
        <v/>
      </c>
      <c r="AT498" s="2">
        <f>L498-K498-AL498-AE498-IF(AM498&gt;0;AM498;'_Настройки'!$B$9)-AP498-AC498</f>
        <v/>
      </c>
      <c r="AU498" s="3">
        <f>IF(L498&gt;0;AT498/L498;"")</f>
        <v/>
      </c>
      <c r="AV498" s="3">
        <f>IF(K498&gt;0;AT498/K498;"")</f>
        <v/>
      </c>
    </row>
    <row r="499">
      <c r="A499">
        <f>ROW()-1</f>
        <v/>
      </c>
      <c r="K499" s="2">
        <f>IFERROR(INDEX('_Цены_закупки'!$B:$B;MATCH(C499;'_Цены_закупки'!$A:$A;0));"")</f>
        <v/>
      </c>
      <c r="L499" s="2" t="n"/>
      <c r="M499" s="2" t="n"/>
      <c r="N499" s="3">
        <f>IF(AND(M499&gt;0;L499&gt;0);1-L499/M499;"")</f>
        <v/>
      </c>
      <c r="O499" s="2">
        <f>IF(OR(Q499="";K499=0);"";(K499+IF(AM499&gt;0;AM499;'_Настройки'!$B$9)+AP499+AC499+Q499*K499)/(1-AH499-AD499))</f>
        <v/>
      </c>
      <c r="P499" s="2">
        <f>IF(O499="";"";O499-K499-O499*AH499-O499*AD499-IF(AM499&gt;0;AM499;'_Настройки'!$B$9)-AP499-AC499)</f>
        <v/>
      </c>
      <c r="Q499" s="3">
        <f>IF(AND(O499&gt;0;K499&gt;0);P499/K499;"")</f>
        <v/>
      </c>
      <c r="R499" s="2">
        <f>IF(O499="";"";O499-K499-O499*AK499-O499*AD499-IF(AM499&gt;0;AM499;'_Настройки'!$B$9)-AP499-AC499)</f>
        <v/>
      </c>
      <c r="S499" s="3">
        <f>IF(AND(O499&gt;0;K499&gt;0);R499/K499;"")</f>
        <v/>
      </c>
      <c r="T499" s="2" t="n"/>
      <c r="U499" s="3">
        <f>IF(AND(L499&gt;0;T499&gt;0);1-T499/L499;"")</f>
        <v/>
      </c>
      <c r="V499" s="3">
        <f>'_Настройки'!$B$4</f>
        <v/>
      </c>
      <c r="Z499" s="4">
        <f>IF(AND(W499&gt;0;X499&gt;0;Y499&gt;0);W499*X499*Y499/1000;"")</f>
        <v/>
      </c>
      <c r="AB499" s="2">
        <f>('_Настройки'!$B$6+MAX(0;Z499-1)*'_Настройки'!$B$7)*IF(AA499&gt;0;AA499;'_Настройки'!$B$10)</f>
        <v/>
      </c>
      <c r="AC499" s="2">
        <f>AB499*(1+'_Настройки'!$B$8)</f>
        <v/>
      </c>
      <c r="AD499" s="3">
        <f>'_Настройки'!$B$2</f>
        <v/>
      </c>
      <c r="AE499" s="2">
        <f>L499*AD499</f>
        <v/>
      </c>
      <c r="AF499" s="3">
        <f>'_Настройки'!$B$3</f>
        <v/>
      </c>
      <c r="AG499" s="3">
        <f>IFERROR(INDEX('_Комиссия_ВБ'!$B:$B;MATCH(C499;'_Комиссия_ВБ'!$A:$A;0));0,245)</f>
        <v/>
      </c>
      <c r="AH499" s="3">
        <f>AG499+AF499</f>
        <v/>
      </c>
      <c r="AI499" s="2">
        <f>L499*AH499</f>
        <v/>
      </c>
      <c r="AJ499" s="3">
        <f>IFERROR(INDEX('_Комиссия_ВБ'!$C:$C;MATCH(C499;'_Комиссия_ВБ'!$A:$A;0));0,28)</f>
        <v/>
      </c>
      <c r="AK499" s="3">
        <f>AJ499+AF499</f>
        <v/>
      </c>
      <c r="AL499" s="2">
        <f>L499*AK499</f>
        <v/>
      </c>
      <c r="AM499" s="2" t="n"/>
      <c r="AO499" s="3">
        <f>'_Настройки'!$B$5</f>
        <v/>
      </c>
      <c r="AP499" s="2">
        <f>IF(K499&gt;0;K499*AO499;0)</f>
        <v/>
      </c>
      <c r="AQ499" s="2">
        <f>L499-K499-AI499-AE499-IF(AM499&gt;0;AM499;'_Настройки'!$B$9)-AP499-AC499</f>
        <v/>
      </c>
      <c r="AR499" s="3">
        <f>IF(L499&gt;0;AQ499/L499;"")</f>
        <v/>
      </c>
      <c r="AS499" s="3">
        <f>IF(K499&gt;0;AQ499/K499;"")</f>
        <v/>
      </c>
      <c r="AT499" s="2">
        <f>L499-K499-AL499-AE499-IF(AM499&gt;0;AM499;'_Настройки'!$B$9)-AP499-AC499</f>
        <v/>
      </c>
      <c r="AU499" s="3">
        <f>IF(L499&gt;0;AT499/L499;"")</f>
        <v/>
      </c>
      <c r="AV499" s="3">
        <f>IF(K499&gt;0;AT499/K499;"")</f>
        <v/>
      </c>
    </row>
    <row r="500">
      <c r="A500">
        <f>ROW()-1</f>
        <v/>
      </c>
      <c r="K500" s="2">
        <f>IFERROR(INDEX('_Цены_закупки'!$B:$B;MATCH(C500;'_Цены_закупки'!$A:$A;0));"")</f>
        <v/>
      </c>
      <c r="L500" s="2" t="n"/>
      <c r="M500" s="2" t="n"/>
      <c r="N500" s="3">
        <f>IF(AND(M500&gt;0;L500&gt;0);1-L500/M500;"")</f>
        <v/>
      </c>
      <c r="O500" s="2">
        <f>IF(OR(Q500="";K500=0);"";(K500+IF(AM500&gt;0;AM500;'_Настройки'!$B$9)+AP500+AC500+Q500*K500)/(1-AH500-AD500))</f>
        <v/>
      </c>
      <c r="P500" s="2">
        <f>IF(O500="";"";O500-K500-O500*AH500-O500*AD500-IF(AM500&gt;0;AM500;'_Настройки'!$B$9)-AP500-AC500)</f>
        <v/>
      </c>
      <c r="Q500" s="3">
        <f>IF(AND(O500&gt;0;K500&gt;0);P500/K500;"")</f>
        <v/>
      </c>
      <c r="R500" s="2">
        <f>IF(O500="";"";O500-K500-O500*AK500-O500*AD500-IF(AM500&gt;0;AM500;'_Настройки'!$B$9)-AP500-AC500)</f>
        <v/>
      </c>
      <c r="S500" s="3">
        <f>IF(AND(O500&gt;0;K500&gt;0);R500/K500;"")</f>
        <v/>
      </c>
      <c r="T500" s="2" t="n"/>
      <c r="U500" s="3">
        <f>IF(AND(L500&gt;0;T500&gt;0);1-T500/L500;"")</f>
        <v/>
      </c>
      <c r="V500" s="3">
        <f>'_Настройки'!$B$4</f>
        <v/>
      </c>
      <c r="Z500" s="4">
        <f>IF(AND(W500&gt;0;X500&gt;0;Y500&gt;0);W500*X500*Y500/1000;"")</f>
        <v/>
      </c>
      <c r="AB500" s="2">
        <f>('_Настройки'!$B$6+MAX(0;Z500-1)*'_Настройки'!$B$7)*IF(AA500&gt;0;AA500;'_Настройки'!$B$10)</f>
        <v/>
      </c>
      <c r="AC500" s="2">
        <f>AB500*(1+'_Настройки'!$B$8)</f>
        <v/>
      </c>
      <c r="AD500" s="3">
        <f>'_Настройки'!$B$2</f>
        <v/>
      </c>
      <c r="AE500" s="2">
        <f>L500*AD500</f>
        <v/>
      </c>
      <c r="AF500" s="3">
        <f>'_Настройки'!$B$3</f>
        <v/>
      </c>
      <c r="AG500" s="3">
        <f>IFERROR(INDEX('_Комиссия_ВБ'!$B:$B;MATCH(C500;'_Комиссия_ВБ'!$A:$A;0));0,245)</f>
        <v/>
      </c>
      <c r="AH500" s="3">
        <f>AG500+AF500</f>
        <v/>
      </c>
      <c r="AI500" s="2">
        <f>L500*AH500</f>
        <v/>
      </c>
      <c r="AJ500" s="3">
        <f>IFERROR(INDEX('_Комиссия_ВБ'!$C:$C;MATCH(C500;'_Комиссия_ВБ'!$A:$A;0));0,28)</f>
        <v/>
      </c>
      <c r="AK500" s="3">
        <f>AJ500+AF500</f>
        <v/>
      </c>
      <c r="AL500" s="2">
        <f>L500*AK500</f>
        <v/>
      </c>
      <c r="AM500" s="2" t="n"/>
      <c r="AO500" s="3">
        <f>'_Настройки'!$B$5</f>
        <v/>
      </c>
      <c r="AP500" s="2">
        <f>IF(K500&gt;0;K500*AO500;0)</f>
        <v/>
      </c>
      <c r="AQ500" s="2">
        <f>L500-K500-AI500-AE500-IF(AM500&gt;0;AM500;'_Настройки'!$B$9)-AP500-AC500</f>
        <v/>
      </c>
      <c r="AR500" s="3">
        <f>IF(L500&gt;0;AQ500/L500;"")</f>
        <v/>
      </c>
      <c r="AS500" s="3">
        <f>IF(K500&gt;0;AQ500/K500;"")</f>
        <v/>
      </c>
      <c r="AT500" s="2">
        <f>L500-K500-AL500-AE500-IF(AM500&gt;0;AM500;'_Настройки'!$B$9)-AP500-AC500</f>
        <v/>
      </c>
      <c r="AU500" s="3">
        <f>IF(L500&gt;0;AT500/L500;"")</f>
        <v/>
      </c>
      <c r="AV500" s="3">
        <f>IF(K500&gt;0;AT500/K500;"")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3" max="3"/>
  </cols>
  <sheetData>
    <row r="1">
      <c r="A1" t="inlineStr">
        <is>
          <t>Параметр</t>
        </is>
      </c>
      <c r="B1" t="inlineStr">
        <is>
          <t>Значение</t>
        </is>
      </c>
      <c r="C1" t="inlineStr">
        <is>
          <t>Описание</t>
        </is>
      </c>
    </row>
    <row r="2">
      <c r="A2" t="inlineStr">
        <is>
          <t>Налог УСН Доходы</t>
        </is>
      </c>
      <c r="B2" s="5" t="n">
        <v>0.11</v>
      </c>
      <c r="C2" t="inlineStr">
        <is>
          <t>Доля от цены продажи</t>
        </is>
      </c>
    </row>
    <row r="3">
      <c r="A3" t="inlineStr">
        <is>
          <t>Доп. комиссия WB</t>
        </is>
      </c>
      <c r="B3" s="5" t="n">
        <v>0.0175</v>
      </c>
      <c r="C3" t="inlineStr">
        <is>
          <t>К категорийной комиссии</t>
        </is>
      </c>
    </row>
    <row r="4">
      <c r="A4" t="inlineStr">
        <is>
          <t>% выкупа</t>
        </is>
      </c>
      <c r="B4" s="5" t="n">
        <v>0.9</v>
      </c>
      <c r="C4" t="inlineStr">
        <is>
          <t>Справочно</t>
        </is>
      </c>
    </row>
    <row r="5">
      <c r="A5" t="inlineStr">
        <is>
          <t>Брак/потери</t>
        </is>
      </c>
      <c r="B5" s="5" t="n">
        <v>0.01</v>
      </c>
      <c r="C5" t="inlineStr">
        <is>
          <t>Доля от закупки</t>
        </is>
      </c>
    </row>
    <row r="6">
      <c r="A6" t="inlineStr">
        <is>
          <t>Логистика: 1-й литр, ₽</t>
        </is>
      </c>
      <c r="B6" t="n">
        <v>46</v>
      </c>
      <c r="C6" t="inlineStr">
        <is>
          <t>Тариф WB</t>
        </is>
      </c>
    </row>
    <row r="7">
      <c r="A7" t="inlineStr">
        <is>
          <t>Логистика: доп. литр, ₽</t>
        </is>
      </c>
      <c r="B7" t="n">
        <v>14</v>
      </c>
      <c r="C7" t="inlineStr">
        <is>
          <t>За литр сверх 1</t>
        </is>
      </c>
    </row>
    <row r="8">
      <c r="A8" t="inlineStr">
        <is>
          <t>Наценка обратной логистики</t>
        </is>
      </c>
      <c r="B8" s="5" t="n">
        <v>0.0454</v>
      </c>
      <c r="C8" t="inlineStr">
        <is>
          <t>К базовой доставке</t>
        </is>
      </c>
    </row>
    <row r="9">
      <c r="A9" t="inlineStr">
        <is>
          <t>Упаковка по умолчанию, ₽</t>
        </is>
      </c>
      <c r="B9" t="n">
        <v>65</v>
      </c>
      <c r="C9" t="inlineStr">
        <is>
          <t>Если «Упаковка» пуста</t>
        </is>
      </c>
    </row>
    <row r="10">
      <c r="A10" t="inlineStr">
        <is>
          <t>Коэфф. склада по умолчанию</t>
        </is>
      </c>
      <c r="B10" t="n">
        <v>2.2</v>
      </c>
      <c r="C10" t="inlineStr">
        <is>
          <t>Если «Коэфф.» пуст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продавца</t>
        </is>
      </c>
      <c r="B1" t="inlineStr">
        <is>
          <t>Цена закупки</t>
        </is>
      </c>
    </row>
    <row r="2">
      <c r="A2" t="inlineStr">
        <is>
          <t>69740.0</t>
        </is>
      </c>
      <c r="B2" t="n">
        <v>162</v>
      </c>
    </row>
    <row r="3">
      <c r="A3" t="inlineStr">
        <is>
          <t>61750.0</t>
        </is>
      </c>
      <c r="B3" t="n">
        <v>183.33</v>
      </c>
    </row>
    <row r="4">
      <c r="A4" t="inlineStr">
        <is>
          <t>61738 с черенком</t>
        </is>
      </c>
      <c r="B4" t="n">
        <v>166.84</v>
      </c>
    </row>
    <row r="5">
      <c r="A5" t="inlineStr">
        <is>
          <t>617885.0</t>
        </is>
      </c>
      <c r="B5" t="n">
        <v>994.2</v>
      </c>
    </row>
    <row r="6">
      <c r="A6" t="inlineStr">
        <is>
          <t>61738.0</t>
        </is>
      </c>
      <c r="B6" t="n">
        <v>166.84</v>
      </c>
    </row>
    <row r="7">
      <c r="A7" t="inlineStr">
        <is>
          <t>61733.0</t>
        </is>
      </c>
      <c r="B7" t="n">
        <v>794.28</v>
      </c>
    </row>
    <row r="8">
      <c r="A8" t="inlineStr">
        <is>
          <t>61732.0</t>
        </is>
      </c>
      <c r="B8" t="n">
        <v>589.47</v>
      </c>
    </row>
    <row r="9">
      <c r="A9" t="inlineStr">
        <is>
          <t>61768.0</t>
        </is>
      </c>
      <c r="B9" t="n">
        <v>271</v>
      </c>
    </row>
    <row r="10">
      <c r="A10" t="inlineStr">
        <is>
          <t>69610.0</t>
        </is>
      </c>
      <c r="B10" t="n">
        <v>3492.85</v>
      </c>
    </row>
    <row r="11">
      <c r="A11" t="inlineStr">
        <is>
          <t>67461.0</t>
        </is>
      </c>
      <c r="B11" t="n">
        <v>1632.51</v>
      </c>
    </row>
    <row r="12">
      <c r="A12" t="inlineStr">
        <is>
          <t>617705.0</t>
        </is>
      </c>
      <c r="B12" t="n">
        <v>228.92</v>
      </c>
    </row>
    <row r="13">
      <c r="A13" t="inlineStr">
        <is>
          <t>61460.0</t>
        </is>
      </c>
      <c r="B13" t="n">
        <v>492.76</v>
      </c>
    </row>
    <row r="14">
      <c r="A14" t="inlineStr">
        <is>
          <t>42001.0</t>
        </is>
      </c>
      <c r="B14" t="n">
        <v>246.53</v>
      </c>
    </row>
    <row r="15">
      <c r="A15" t="inlineStr">
        <is>
          <t>60493.0</t>
        </is>
      </c>
      <c r="B15" t="n">
        <v>222.13</v>
      </c>
    </row>
    <row r="16">
      <c r="A16" t="inlineStr">
        <is>
          <t>604775.0</t>
        </is>
      </c>
      <c r="B16" t="n">
        <v>658.41</v>
      </c>
    </row>
    <row r="17">
      <c r="A17" t="inlineStr">
        <is>
          <t>60477.0</t>
        </is>
      </c>
      <c r="B17" t="n">
        <v>611.45</v>
      </c>
    </row>
    <row r="18">
      <c r="A18" t="inlineStr">
        <is>
          <t>60473.0</t>
        </is>
      </c>
      <c r="B18" t="n">
        <v>859.23</v>
      </c>
    </row>
    <row r="19">
      <c r="A19" t="inlineStr">
        <is>
          <t>60472.0</t>
        </is>
      </c>
      <c r="B19" t="n">
        <v>1121.32</v>
      </c>
    </row>
    <row r="20">
      <c r="A20" t="inlineStr">
        <is>
          <t>60471.0</t>
        </is>
      </c>
      <c r="B20" t="n">
        <v>1808.37</v>
      </c>
    </row>
    <row r="21">
      <c r="A21" t="inlineStr">
        <is>
          <t>60467.0</t>
        </is>
      </c>
      <c r="B21" t="n">
        <v>629.4299999999999</v>
      </c>
    </row>
    <row r="22">
      <c r="A22" t="inlineStr">
        <is>
          <t>60462.0</t>
        </is>
      </c>
      <c r="B22" t="n">
        <v>580.0599999999999</v>
      </c>
    </row>
    <row r="23">
      <c r="A23" t="inlineStr">
        <is>
          <t>60461.0</t>
        </is>
      </c>
      <c r="B23" t="n">
        <v>794.28</v>
      </c>
    </row>
    <row r="24">
      <c r="A24" t="inlineStr">
        <is>
          <t>60460.0</t>
        </is>
      </c>
      <c r="B24" t="n">
        <v>968.0599999999999</v>
      </c>
    </row>
    <row r="25">
      <c r="A25" t="inlineStr">
        <is>
          <t>60459.0</t>
        </is>
      </c>
      <c r="B25" t="n">
        <v>672.39</v>
      </c>
    </row>
    <row r="26">
      <c r="A26" t="inlineStr">
        <is>
          <t>60458.0</t>
        </is>
      </c>
      <c r="B26" t="n">
        <v>479.18</v>
      </c>
    </row>
    <row r="27">
      <c r="A27" t="inlineStr">
        <is>
          <t>60457.0</t>
        </is>
      </c>
      <c r="B27" t="n">
        <v>563.49</v>
      </c>
    </row>
    <row r="28">
      <c r="A28" t="inlineStr">
        <is>
          <t>60456.0</t>
        </is>
      </c>
      <c r="B28" t="n">
        <v>489.56</v>
      </c>
    </row>
    <row r="29">
      <c r="A29" t="inlineStr">
        <is>
          <t>60455.0</t>
        </is>
      </c>
      <c r="B29" t="n">
        <v>371.67</v>
      </c>
    </row>
    <row r="30">
      <c r="A30" t="inlineStr">
        <is>
          <t>60454.0</t>
        </is>
      </c>
      <c r="B30" t="n">
        <v>391.65</v>
      </c>
    </row>
    <row r="31">
      <c r="A31" t="inlineStr">
        <is>
          <t>60442.0</t>
        </is>
      </c>
      <c r="B31" t="n">
        <v>529.52</v>
      </c>
    </row>
    <row r="32">
      <c r="A32" t="inlineStr">
        <is>
          <t>60441.0</t>
        </is>
      </c>
      <c r="B32" t="n">
        <v>274.51</v>
      </c>
    </row>
    <row r="33">
      <c r="A33" t="inlineStr">
        <is>
          <t>59437.0</t>
        </is>
      </c>
      <c r="B33" t="n">
        <v>3986.7</v>
      </c>
    </row>
    <row r="34">
      <c r="A34" t="inlineStr">
        <is>
          <t>689615.0</t>
        </is>
      </c>
      <c r="B34" t="n">
        <v>1797</v>
      </c>
    </row>
    <row r="35">
      <c r="A35" t="inlineStr">
        <is>
          <t>67635.0</t>
        </is>
      </c>
      <c r="B35" t="n">
        <v>1113.56</v>
      </c>
    </row>
    <row r="36">
      <c r="A36" t="inlineStr">
        <is>
          <t>58701.0</t>
        </is>
      </c>
      <c r="B36" t="n">
        <v>3914</v>
      </c>
    </row>
    <row r="37">
      <c r="A37" t="inlineStr">
        <is>
          <t>94212АСПТ</t>
        </is>
      </c>
      <c r="B37" t="n">
        <v>1099.01</v>
      </c>
    </row>
    <row r="38">
      <c r="A38" t="inlineStr">
        <is>
          <t>69520.0</t>
        </is>
      </c>
      <c r="B38" t="n">
        <v>5050.3</v>
      </c>
    </row>
    <row r="39">
      <c r="A39" t="inlineStr">
        <is>
          <t>61473.0</t>
        </is>
      </c>
      <c r="B39" t="n">
        <v>1127.98</v>
      </c>
    </row>
    <row r="40">
      <c r="A40" t="inlineStr">
        <is>
          <t>KH-5887</t>
        </is>
      </c>
      <c r="B40" t="n">
        <v>1100</v>
      </c>
    </row>
    <row r="41">
      <c r="A41" t="inlineStr">
        <is>
          <t>KH-5885</t>
        </is>
      </c>
      <c r="B41" t="n">
        <v>680</v>
      </c>
    </row>
    <row r="42">
      <c r="A42" t="inlineStr">
        <is>
          <t>KH-5886</t>
        </is>
      </c>
      <c r="B42" t="n">
        <v>660</v>
      </c>
    </row>
    <row r="43">
      <c r="A43" t="inlineStr">
        <is>
          <t>KH-5870</t>
        </is>
      </c>
      <c r="B43" t="n">
        <v>1900</v>
      </c>
    </row>
    <row r="44">
      <c r="A44" t="inlineStr">
        <is>
          <t>КН-4745</t>
        </is>
      </c>
      <c r="B44" t="n">
        <v>270</v>
      </c>
    </row>
    <row r="45">
      <c r="A45" t="inlineStr">
        <is>
          <t>51080.0</t>
        </is>
      </c>
      <c r="B45" t="n">
        <v>2106.9</v>
      </c>
    </row>
    <row r="46">
      <c r="A46" t="inlineStr">
        <is>
          <t>51084.0</t>
        </is>
      </c>
      <c r="B46" t="n">
        <v>4086</v>
      </c>
    </row>
    <row r="47">
      <c r="A47" t="inlineStr">
        <is>
          <t>6175655.0</t>
        </is>
      </c>
      <c r="B47" t="n">
        <v>669.4</v>
      </c>
    </row>
    <row r="48">
      <c r="A48" t="inlineStr">
        <is>
          <t>69586.0</t>
        </is>
      </c>
      <c r="B48" t="n">
        <v>1176.94</v>
      </c>
    </row>
    <row r="49">
      <c r="A49" t="inlineStr">
        <is>
          <t>69585.0</t>
        </is>
      </c>
      <c r="B49" t="n">
        <v>859.23</v>
      </c>
    </row>
    <row r="50">
      <c r="A50" t="inlineStr">
        <is>
          <t>50834.0</t>
        </is>
      </c>
      <c r="B50" t="n">
        <v>2666.9</v>
      </c>
    </row>
    <row r="51">
      <c r="A51" t="inlineStr">
        <is>
          <t>96631.0</t>
        </is>
      </c>
      <c r="B51" t="n">
        <v>3620</v>
      </c>
    </row>
    <row r="52">
      <c r="A52" t="inlineStr">
        <is>
          <t>96633.0</t>
        </is>
      </c>
      <c r="B52" t="n">
        <v>1789.65</v>
      </c>
    </row>
    <row r="53">
      <c r="A53" t="inlineStr">
        <is>
          <t>96632.0</t>
        </is>
      </c>
      <c r="B53" t="n">
        <v>4310</v>
      </c>
    </row>
    <row r="54">
      <c r="A54" t="inlineStr">
        <is>
          <t>96620.0</t>
        </is>
      </c>
      <c r="B54" t="n">
        <v>3998.34</v>
      </c>
    </row>
    <row r="55">
      <c r="A55" t="inlineStr">
        <is>
          <t>962325.0</t>
        </is>
      </c>
      <c r="B55" t="n">
        <v>6784.18</v>
      </c>
    </row>
    <row r="56">
      <c r="A56" t="inlineStr">
        <is>
          <t>99306.0</t>
        </is>
      </c>
      <c r="B56" t="n">
        <v>2562.74</v>
      </c>
    </row>
    <row r="57">
      <c r="A57" t="inlineStr">
        <is>
          <t>61386.0</t>
        </is>
      </c>
      <c r="B57" t="n">
        <v>977.62</v>
      </c>
    </row>
    <row r="58">
      <c r="A58" t="inlineStr">
        <is>
          <t>94665.0</t>
        </is>
      </c>
      <c r="B58" t="n">
        <v>7460</v>
      </c>
    </row>
    <row r="59">
      <c r="A59" t="inlineStr">
        <is>
          <t>96629.0</t>
        </is>
      </c>
      <c r="B59" t="n">
        <v>13913.68</v>
      </c>
    </row>
    <row r="60">
      <c r="A60" t="inlineStr">
        <is>
          <t>58901.0</t>
        </is>
      </c>
      <c r="B60" t="n">
        <v>10790.28</v>
      </c>
    </row>
    <row r="61">
      <c r="A61" t="inlineStr">
        <is>
          <t>58814.0</t>
        </is>
      </c>
      <c r="B61" t="n">
        <v>16203</v>
      </c>
    </row>
    <row r="62">
      <c r="A62" t="inlineStr">
        <is>
          <t>58812.0</t>
        </is>
      </c>
      <c r="B62" t="n">
        <v>18882.99</v>
      </c>
    </row>
    <row r="63">
      <c r="A63" t="inlineStr">
        <is>
          <t>69000-1</t>
        </is>
      </c>
      <c r="B63" t="n">
        <v>10980.11</v>
      </c>
    </row>
    <row r="64">
      <c r="A64" t="inlineStr">
        <is>
          <t>689965-1</t>
        </is>
      </c>
      <c r="B64" t="n">
        <v>7383.35</v>
      </c>
    </row>
    <row r="65">
      <c r="A65" t="inlineStr">
        <is>
          <t>68999-1</t>
        </is>
      </c>
      <c r="B65" t="n">
        <v>8742.129999999999</v>
      </c>
    </row>
    <row r="66">
      <c r="A66" t="inlineStr">
        <is>
          <t>69601.0</t>
        </is>
      </c>
      <c r="B66" t="n">
        <v>69</v>
      </c>
    </row>
    <row r="67">
      <c r="A67" t="inlineStr">
        <is>
          <t>58224.0</t>
        </is>
      </c>
      <c r="B67" t="n">
        <v>5463.04</v>
      </c>
    </row>
    <row r="68">
      <c r="A68" t="inlineStr">
        <is>
          <t>6157453-1</t>
        </is>
      </c>
      <c r="B68" t="n">
        <v>219.15</v>
      </c>
    </row>
    <row r="69">
      <c r="A69" t="inlineStr">
        <is>
          <t>61566-1</t>
        </is>
      </c>
      <c r="B69" t="n">
        <v>339.6</v>
      </c>
    </row>
    <row r="70">
      <c r="A70" t="inlineStr">
        <is>
          <t>6157453.0</t>
        </is>
      </c>
      <c r="B70" t="n">
        <v>219.15</v>
      </c>
    </row>
    <row r="71">
      <c r="A71" t="inlineStr">
        <is>
          <t>61574.0</t>
        </is>
      </c>
      <c r="B71" t="n">
        <v>253</v>
      </c>
    </row>
    <row r="72">
      <c r="A72" t="inlineStr">
        <is>
          <t>50831.0</t>
        </is>
      </c>
      <c r="B72" t="n">
        <v>5102</v>
      </c>
    </row>
    <row r="73">
      <c r="A73" t="inlineStr">
        <is>
          <t>50833.0</t>
        </is>
      </c>
      <c r="B73" t="n">
        <v>3154.1</v>
      </c>
    </row>
    <row r="74">
      <c r="A74" t="inlineStr">
        <is>
          <t>51040.0</t>
        </is>
      </c>
      <c r="B74" t="n">
        <v>8672.33</v>
      </c>
    </row>
    <row r="75">
      <c r="A75" t="inlineStr">
        <is>
          <t>50832.0</t>
        </is>
      </c>
      <c r="B75" t="n">
        <v>2935.96</v>
      </c>
    </row>
    <row r="76">
      <c r="A76" t="inlineStr">
        <is>
          <t>51028.0</t>
        </is>
      </c>
      <c r="B76" t="n">
        <v>4427.89</v>
      </c>
    </row>
    <row r="77">
      <c r="A77" t="inlineStr">
        <is>
          <t>51020.0</t>
        </is>
      </c>
      <c r="B77" t="n">
        <v>4104.67</v>
      </c>
    </row>
    <row r="78">
      <c r="A78" t="inlineStr">
        <is>
          <t>50838.0</t>
        </is>
      </c>
      <c r="B78" t="n">
        <v>7605.32</v>
      </c>
    </row>
    <row r="79">
      <c r="A79" t="inlineStr">
        <is>
          <t>50830.0</t>
        </is>
      </c>
      <c r="B79" t="n">
        <v>4779.18</v>
      </c>
    </row>
    <row r="80">
      <c r="A80" t="inlineStr">
        <is>
          <t>степлер40902</t>
        </is>
      </c>
      <c r="B80" t="n">
        <v>820.77</v>
      </c>
    </row>
    <row r="81">
      <c r="A81" t="inlineStr">
        <is>
          <t>40913.0</t>
        </is>
      </c>
      <c r="B81" t="n">
        <v>1060.84</v>
      </c>
    </row>
    <row r="82">
      <c r="A82" t="inlineStr">
        <is>
          <t>61709.0</t>
        </is>
      </c>
      <c r="B82" t="n">
        <v>424.86</v>
      </c>
    </row>
    <row r="83">
      <c r="A83" t="inlineStr">
        <is>
          <t>617015.0</t>
        </is>
      </c>
      <c r="B83" t="n">
        <v>538.35</v>
      </c>
    </row>
    <row r="84">
      <c r="A84" t="inlineStr">
        <is>
          <t>61805.0</t>
        </is>
      </c>
      <c r="B84" t="n">
        <v>614.98</v>
      </c>
    </row>
    <row r="85">
      <c r="A85" t="inlineStr">
        <is>
          <t>61755.0</t>
        </is>
      </c>
      <c r="B85" t="n">
        <v>190.83</v>
      </c>
    </row>
    <row r="86">
      <c r="A86" t="inlineStr">
        <is>
          <t>61740.0</t>
        </is>
      </c>
      <c r="B86" t="n">
        <v>162.96</v>
      </c>
    </row>
    <row r="87">
      <c r="A87" t="inlineStr">
        <is>
          <t>61744.0</t>
        </is>
      </c>
      <c r="B87" t="n">
        <v>324.95</v>
      </c>
    </row>
    <row r="88">
      <c r="A88" t="inlineStr">
        <is>
          <t>59428.0</t>
        </is>
      </c>
      <c r="B88" t="n">
        <v>1798.38</v>
      </c>
    </row>
    <row r="89">
      <c r="A89" t="inlineStr">
        <is>
          <t>617675.0</t>
        </is>
      </c>
      <c r="B89" t="n">
        <v>381.21</v>
      </c>
    </row>
    <row r="90">
      <c r="A90" t="inlineStr">
        <is>
          <t>62912.0</t>
        </is>
      </c>
      <c r="B90" t="n">
        <v>283.24</v>
      </c>
    </row>
    <row r="91">
      <c r="A91" t="inlineStr">
        <is>
          <t>62907.0</t>
        </is>
      </c>
      <c r="B91" t="n">
        <v>199.82</v>
      </c>
    </row>
    <row r="92">
      <c r="A92" t="inlineStr">
        <is>
          <t>63021.0</t>
        </is>
      </c>
      <c r="B92" t="n">
        <v>276</v>
      </c>
    </row>
    <row r="93">
      <c r="A93" t="inlineStr">
        <is>
          <t>78400.0</t>
        </is>
      </c>
      <c r="B93" t="n">
        <v>432</v>
      </c>
    </row>
    <row r="94">
      <c r="A94" t="inlineStr">
        <is>
          <t>784105.0</t>
        </is>
      </c>
      <c r="B94" t="n">
        <v>652.3</v>
      </c>
    </row>
    <row r="95">
      <c r="A95" t="inlineStr">
        <is>
          <t>62069.0</t>
        </is>
      </c>
      <c r="B95" t="n">
        <v>913.74</v>
      </c>
    </row>
    <row r="96">
      <c r="A96" t="inlineStr">
        <is>
          <t>78406.0</t>
        </is>
      </c>
      <c r="B96" t="n">
        <v>580.21</v>
      </c>
    </row>
    <row r="97">
      <c r="A97" t="inlineStr">
        <is>
          <t>63020.0</t>
        </is>
      </c>
      <c r="B97" t="n">
        <v>892.2</v>
      </c>
    </row>
    <row r="98">
      <c r="A98" t="inlineStr">
        <is>
          <t>62904.0</t>
        </is>
      </c>
      <c r="B98" t="n">
        <v>488.88</v>
      </c>
    </row>
    <row r="99">
      <c r="A99" t="inlineStr">
        <is>
          <t>783125.0</t>
        </is>
      </c>
      <c r="B99" t="n">
        <v>214.68</v>
      </c>
    </row>
    <row r="100">
      <c r="A100" t="inlineStr">
        <is>
          <t>783135.0</t>
        </is>
      </c>
      <c r="B100" t="n">
        <v>289.73</v>
      </c>
    </row>
    <row r="101">
      <c r="A101" t="inlineStr">
        <is>
          <t>96817.0</t>
        </is>
      </c>
      <c r="B101" t="n">
        <v>2297.93</v>
      </c>
    </row>
    <row r="102">
      <c r="A102" t="inlineStr">
        <is>
          <t>59432.0</t>
        </is>
      </c>
      <c r="B102" t="n">
        <v>5195.32</v>
      </c>
    </row>
    <row r="103">
      <c r="A103" t="inlineStr">
        <is>
          <t>59409.0</t>
        </is>
      </c>
      <c r="B103" t="n">
        <v>7293.43</v>
      </c>
    </row>
    <row r="104">
      <c r="A104" t="inlineStr">
        <is>
          <t>90704.0</t>
        </is>
      </c>
      <c r="B104" t="n">
        <v>751.96</v>
      </c>
    </row>
    <row r="105">
      <c r="A105" t="inlineStr">
        <is>
          <t>90705.0</t>
        </is>
      </c>
      <c r="B105" t="n">
        <v>1286.6</v>
      </c>
    </row>
    <row r="106">
      <c r="A106" t="inlineStr">
        <is>
          <t>90806.0</t>
        </is>
      </c>
      <c r="B106" t="n">
        <v>1155</v>
      </c>
    </row>
    <row r="107">
      <c r="A107" t="inlineStr">
        <is>
          <t>90808.0</t>
        </is>
      </c>
      <c r="B107" t="n">
        <v>1063.12</v>
      </c>
    </row>
    <row r="108">
      <c r="A108" t="inlineStr">
        <is>
          <t>64738.0</t>
        </is>
      </c>
      <c r="B108" t="n">
        <v>516.04</v>
      </c>
    </row>
    <row r="109">
      <c r="A109" t="inlineStr">
        <is>
          <t>94214.0</t>
        </is>
      </c>
      <c r="B109" t="n">
        <v>1598.56</v>
      </c>
    </row>
    <row r="110">
      <c r="A110" t="inlineStr">
        <is>
          <t>94207АСПТ</t>
        </is>
      </c>
      <c r="B110" t="n">
        <v>1957</v>
      </c>
    </row>
    <row r="111">
      <c r="A111" t="inlineStr">
        <is>
          <t>АСПТ94205</t>
        </is>
      </c>
      <c r="B111" t="n">
        <v>3496.85</v>
      </c>
    </row>
    <row r="112">
      <c r="A112" t="inlineStr">
        <is>
          <t>63219.0</t>
        </is>
      </c>
      <c r="B112" t="n">
        <v>334.7</v>
      </c>
    </row>
    <row r="113">
      <c r="A113" t="inlineStr">
        <is>
          <t>913033.0</t>
        </is>
      </c>
      <c r="B113" t="n">
        <v>278.39</v>
      </c>
    </row>
    <row r="114">
      <c r="A114" t="inlineStr">
        <is>
          <t>913006.0</t>
        </is>
      </c>
      <c r="B114" t="n">
        <v>308.46</v>
      </c>
    </row>
    <row r="115">
      <c r="A115" t="inlineStr">
        <is>
          <t>913065.0</t>
        </is>
      </c>
      <c r="B115" t="n">
        <v>421.95</v>
      </c>
    </row>
    <row r="116">
      <c r="A116" t="inlineStr">
        <is>
          <t>паяльник913101</t>
        </is>
      </c>
      <c r="B116" t="n">
        <v>174.6</v>
      </c>
    </row>
    <row r="117">
      <c r="A117" t="inlineStr">
        <is>
          <t>паяльник913102</t>
        </is>
      </c>
      <c r="B117" t="n">
        <v>180.42</v>
      </c>
    </row>
    <row r="118">
      <c r="A118" t="inlineStr">
        <is>
          <t>паяльник913103</t>
        </is>
      </c>
      <c r="B118" t="n">
        <v>191.09</v>
      </c>
    </row>
    <row r="119">
      <c r="A119" t="inlineStr">
        <is>
          <t>94544.0</t>
        </is>
      </c>
      <c r="B119" t="n">
        <v>15031</v>
      </c>
    </row>
    <row r="120">
      <c r="A120" t="inlineStr">
        <is>
          <t>94541.0</t>
        </is>
      </c>
      <c r="B120" t="n">
        <v>10219</v>
      </c>
    </row>
    <row r="121">
      <c r="A121" t="inlineStr">
        <is>
          <t>946834.0</t>
        </is>
      </c>
      <c r="B121" t="n">
        <v>25934.89</v>
      </c>
    </row>
    <row r="122">
      <c r="A122" t="inlineStr">
        <is>
          <t>94639.0</t>
        </is>
      </c>
      <c r="B122" t="n">
        <v>60070.16</v>
      </c>
    </row>
    <row r="123">
      <c r="A123" t="inlineStr">
        <is>
          <t>69591.0</t>
        </is>
      </c>
      <c r="B123" t="n">
        <v>1198.92</v>
      </c>
    </row>
    <row r="124">
      <c r="A124" t="inlineStr">
        <is>
          <t>90804.0</t>
        </is>
      </c>
      <c r="B124" t="n">
        <v>636.3200000000001</v>
      </c>
    </row>
    <row r="125">
      <c r="A125" t="inlineStr">
        <is>
          <t>689135.0</t>
        </is>
      </c>
      <c r="B125" t="n">
        <v>2958.5</v>
      </c>
    </row>
    <row r="126">
      <c r="A126" t="inlineStr">
        <is>
          <t>17718.0</t>
        </is>
      </c>
      <c r="B126" t="n">
        <v>1950.34</v>
      </c>
    </row>
    <row r="127">
      <c r="A127" t="inlineStr">
        <is>
          <t>61374.0</t>
        </is>
      </c>
      <c r="B127" t="n">
        <v>1712.05</v>
      </c>
    </row>
    <row r="128">
      <c r="A128" t="inlineStr">
        <is>
          <t>102025.0</t>
        </is>
      </c>
      <c r="B128" t="n">
        <v>129.21</v>
      </c>
    </row>
    <row r="129">
      <c r="A129" t="inlineStr">
        <is>
          <t>13541.0</t>
        </is>
      </c>
      <c r="B129" t="n">
        <v>774.26</v>
      </c>
    </row>
    <row r="130">
      <c r="A130" t="inlineStr">
        <is>
          <t>617199.0</t>
        </is>
      </c>
      <c r="B130" t="n">
        <v>885.2</v>
      </c>
    </row>
    <row r="131">
      <c r="A131" t="inlineStr">
        <is>
          <t>13534.0</t>
        </is>
      </c>
      <c r="B131" t="n">
        <v>609.45</v>
      </c>
    </row>
    <row r="132">
      <c r="A132" t="inlineStr">
        <is>
          <t>10318молоток</t>
        </is>
      </c>
      <c r="B132" t="n">
        <v>230.61</v>
      </c>
    </row>
    <row r="133">
      <c r="A133" t="inlineStr">
        <is>
          <t>102135молоток</t>
        </is>
      </c>
      <c r="B133" t="n">
        <v>370.23</v>
      </c>
    </row>
    <row r="134">
      <c r="A134" t="inlineStr">
        <is>
          <t>102065.0</t>
        </is>
      </c>
      <c r="B134" t="n">
        <v>191.45</v>
      </c>
    </row>
    <row r="135">
      <c r="A135" t="inlineStr">
        <is>
          <t>10325молоток</t>
        </is>
      </c>
      <c r="B135" t="n">
        <v>397.17</v>
      </c>
    </row>
    <row r="136">
      <c r="A136" t="inlineStr">
        <is>
          <t>99303.0</t>
        </is>
      </c>
      <c r="B136" t="n">
        <v>2941.04</v>
      </c>
    </row>
    <row r="137">
      <c r="A137" t="inlineStr">
        <is>
          <t>689225.0</t>
        </is>
      </c>
      <c r="B137" t="n">
        <v>3390.15</v>
      </c>
    </row>
    <row r="138">
      <c r="A138" t="inlineStr">
        <is>
          <t>689155.0</t>
        </is>
      </c>
      <c r="B138" t="n">
        <v>2866.35</v>
      </c>
    </row>
    <row r="139">
      <c r="A139" t="inlineStr">
        <is>
          <t>689125.0</t>
        </is>
      </c>
      <c r="B139" t="n">
        <v>2560.8</v>
      </c>
    </row>
    <row r="140">
      <c r="A140" t="inlineStr">
        <is>
          <t>689845.0</t>
        </is>
      </c>
      <c r="B140" t="n">
        <v>2347.89</v>
      </c>
    </row>
    <row r="141">
      <c r="A141" t="inlineStr">
        <is>
          <t>68999.0</t>
        </is>
      </c>
      <c r="B141" t="n">
        <v>8742.129999999999</v>
      </c>
    </row>
    <row r="142">
      <c r="A142" t="inlineStr">
        <is>
          <t>61428.0</t>
        </is>
      </c>
      <c r="B142" t="n">
        <v>840.24</v>
      </c>
    </row>
    <row r="143">
      <c r="A143" t="inlineStr">
        <is>
          <t>61396.0</t>
        </is>
      </c>
      <c r="B143" t="n">
        <v>561.63</v>
      </c>
    </row>
    <row r="144">
      <c r="A144" t="inlineStr">
        <is>
          <t>61361.0</t>
        </is>
      </c>
      <c r="B144" t="n">
        <v>1552</v>
      </c>
    </row>
    <row r="145">
      <c r="A145" t="inlineStr">
        <is>
          <t>61351.0</t>
        </is>
      </c>
      <c r="B145" t="n">
        <v>1726.6</v>
      </c>
    </row>
    <row r="146">
      <c r="A146" t="inlineStr">
        <is>
          <t>61425.0</t>
        </is>
      </c>
      <c r="B146" t="n">
        <v>383.15</v>
      </c>
    </row>
    <row r="147">
      <c r="A147" t="inlineStr">
        <is>
          <t>61536+черенок-1</t>
        </is>
      </c>
      <c r="B147" t="n">
        <v>530.52</v>
      </c>
    </row>
    <row r="148">
      <c r="A148" t="inlineStr">
        <is>
          <t>90805.0</t>
        </is>
      </c>
      <c r="B148" t="n">
        <v>898.22</v>
      </c>
    </row>
    <row r="149">
      <c r="A149" t="inlineStr">
        <is>
          <t>90803.0</t>
        </is>
      </c>
      <c r="B149" t="n">
        <v>342.41</v>
      </c>
    </row>
    <row r="150">
      <c r="A150" t="inlineStr">
        <is>
          <t>689615-1</t>
        </is>
      </c>
      <c r="B150" t="n">
        <v>1797</v>
      </c>
    </row>
    <row r="151">
      <c r="A151" t="inlineStr">
        <is>
          <t>743145.0</t>
        </is>
      </c>
      <c r="B151" t="n">
        <v>229.79</v>
      </c>
    </row>
    <row r="152">
      <c r="A152" t="inlineStr">
        <is>
          <t>906055.0</t>
        </is>
      </c>
      <c r="B152" t="n">
        <v>1258.6</v>
      </c>
    </row>
    <row r="153">
      <c r="A153" t="inlineStr">
        <is>
          <t>673516.0</t>
        </is>
      </c>
      <c r="B153" t="n">
        <v>544.78</v>
      </c>
    </row>
    <row r="154">
      <c r="A154" t="inlineStr">
        <is>
          <t>743157.0</t>
        </is>
      </c>
      <c r="B154" t="n">
        <v>23.98</v>
      </c>
    </row>
    <row r="155">
      <c r="A155" t="inlineStr">
        <is>
          <t>63227.0</t>
        </is>
      </c>
      <c r="B155" t="n">
        <v>314.72</v>
      </c>
    </row>
    <row r="156">
      <c r="A156" t="inlineStr">
        <is>
          <t>63218.0</t>
        </is>
      </c>
      <c r="B156" t="n">
        <v>339.69</v>
      </c>
    </row>
    <row r="157">
      <c r="A157" t="inlineStr">
        <is>
          <t>63226.0</t>
        </is>
      </c>
      <c r="B157" t="n">
        <v>304.73</v>
      </c>
    </row>
    <row r="158">
      <c r="A158" t="inlineStr">
        <is>
          <t>743147.0</t>
        </is>
      </c>
      <c r="B158" t="n">
        <v>22.98</v>
      </c>
    </row>
    <row r="159">
      <c r="A159" t="inlineStr">
        <is>
          <t>57410.0</t>
        </is>
      </c>
      <c r="B159" t="n">
        <v>4240.84</v>
      </c>
    </row>
    <row r="160">
      <c r="A160" t="inlineStr">
        <is>
          <t>53126.0</t>
        </is>
      </c>
      <c r="B160" t="n">
        <v>711.65</v>
      </c>
    </row>
    <row r="161">
      <c r="A161" t="inlineStr">
        <is>
          <t>62390.0</t>
        </is>
      </c>
      <c r="B161" t="n">
        <v>73.93000000000001</v>
      </c>
    </row>
    <row r="162">
      <c r="A162" t="inlineStr">
        <is>
          <t>61461.0</t>
        </is>
      </c>
      <c r="B162" t="n">
        <v>492.76</v>
      </c>
    </row>
    <row r="163">
      <c r="A163" t="inlineStr">
        <is>
          <t>17734.0</t>
        </is>
      </c>
      <c r="B163" t="n">
        <v>693</v>
      </c>
    </row>
    <row r="164">
      <c r="A164" t="inlineStr">
        <is>
          <t>90256.0</t>
        </is>
      </c>
      <c r="B164" t="n">
        <v>1900.28</v>
      </c>
    </row>
    <row r="165">
      <c r="A165" t="inlineStr">
        <is>
          <t>90259Сумка</t>
        </is>
      </c>
      <c r="B165" t="n">
        <v>1403.17</v>
      </c>
    </row>
    <row r="166">
      <c r="A166" t="inlineStr">
        <is>
          <t>90241сумка</t>
        </is>
      </c>
      <c r="B166" t="n">
        <v>927.03</v>
      </c>
    </row>
    <row r="167">
      <c r="A167" t="inlineStr">
        <is>
          <t>90240сумка</t>
        </is>
      </c>
      <c r="B167" t="n">
        <v>1457.83</v>
      </c>
    </row>
    <row r="168">
      <c r="A168" t="inlineStr">
        <is>
          <t>63228.0</t>
        </is>
      </c>
      <c r="B168" t="n">
        <v>309.72</v>
      </c>
    </row>
    <row r="169">
      <c r="A169" t="inlineStr">
        <is>
          <t>17610.0</t>
        </is>
      </c>
      <c r="B169" t="n">
        <v>472.77</v>
      </c>
    </row>
    <row r="170">
      <c r="A170" t="inlineStr">
        <is>
          <t>674773.0</t>
        </is>
      </c>
      <c r="B170" t="n">
        <v>320.54</v>
      </c>
    </row>
    <row r="171">
      <c r="A171" t="inlineStr">
        <is>
          <t>78535.0</t>
        </is>
      </c>
      <c r="B171" t="n">
        <v>989.11</v>
      </c>
    </row>
    <row r="172">
      <c r="A172" t="inlineStr">
        <is>
          <t>78502.0</t>
        </is>
      </c>
      <c r="B172" t="n">
        <v>364.6</v>
      </c>
    </row>
    <row r="173">
      <c r="A173" t="inlineStr">
        <is>
          <t>57492.0</t>
        </is>
      </c>
      <c r="B173" t="n">
        <v>3297.03</v>
      </c>
    </row>
    <row r="174">
      <c r="A174" t="inlineStr">
        <is>
          <t>26905.0</t>
        </is>
      </c>
      <c r="B174" t="n">
        <v>2548.19</v>
      </c>
    </row>
    <row r="175">
      <c r="A175" t="inlineStr">
        <is>
          <t>93930.0</t>
        </is>
      </c>
      <c r="B175" t="n">
        <v>21.98</v>
      </c>
    </row>
    <row r="176">
      <c r="A176" t="inlineStr">
        <is>
          <t>93934.0</t>
        </is>
      </c>
      <c r="B176" t="n">
        <v>20.98</v>
      </c>
    </row>
    <row r="177">
      <c r="A177" t="inlineStr">
        <is>
          <t>939047.0</t>
        </is>
      </c>
      <c r="B177" t="n">
        <v>12.99</v>
      </c>
    </row>
    <row r="178">
      <c r="A178" t="inlineStr">
        <is>
          <t>93989.0</t>
        </is>
      </c>
      <c r="B178" t="n">
        <v>30.97</v>
      </c>
    </row>
    <row r="179">
      <c r="A179" t="inlineStr">
        <is>
          <t>64741.0</t>
        </is>
      </c>
      <c r="B179" t="n">
        <v>152.29</v>
      </c>
    </row>
    <row r="180">
      <c r="A180" t="inlineStr">
        <is>
          <t>64736.0</t>
        </is>
      </c>
      <c r="B180" t="n">
        <v>421.95</v>
      </c>
    </row>
    <row r="181">
      <c r="A181" t="inlineStr">
        <is>
          <t>64743.0</t>
        </is>
      </c>
      <c r="B181" t="n">
        <v>947.6900000000001</v>
      </c>
    </row>
    <row r="182">
      <c r="A182" t="inlineStr">
        <is>
          <t>64740.0</t>
        </is>
      </c>
      <c r="B182" t="n">
        <v>1015.59</v>
      </c>
    </row>
    <row r="183">
      <c r="A183" t="inlineStr">
        <is>
          <t>97726.0</t>
        </is>
      </c>
      <c r="B183" t="n">
        <v>1812.93</v>
      </c>
    </row>
    <row r="184">
      <c r="A184" t="inlineStr">
        <is>
          <t>57338.0</t>
        </is>
      </c>
      <c r="B184" t="n">
        <v>460.75</v>
      </c>
    </row>
    <row r="185">
      <c r="A185" t="inlineStr">
        <is>
          <t>57330.0</t>
        </is>
      </c>
      <c r="B185" t="n">
        <v>271.6</v>
      </c>
    </row>
    <row r="186">
      <c r="A186" t="inlineStr">
        <is>
          <t>57426.0</t>
        </is>
      </c>
      <c r="B186" t="n">
        <v>4332.99</v>
      </c>
    </row>
    <row r="187">
      <c r="A187" t="inlineStr">
        <is>
          <t>57428.0</t>
        </is>
      </c>
      <c r="B187" t="n">
        <v>4530.87</v>
      </c>
    </row>
    <row r="188">
      <c r="A188" t="inlineStr">
        <is>
          <t>57334.0</t>
        </is>
      </c>
      <c r="B188" t="n">
        <v>318.16</v>
      </c>
    </row>
    <row r="189">
      <c r="A189" t="inlineStr">
        <is>
          <t>97836.0</t>
        </is>
      </c>
      <c r="B189" t="n">
        <v>2167.05</v>
      </c>
    </row>
    <row r="190">
      <c r="A190" t="inlineStr">
        <is>
          <t>97984.0</t>
        </is>
      </c>
      <c r="B190" t="n">
        <v>2576.68</v>
      </c>
    </row>
    <row r="191">
      <c r="A191" t="inlineStr">
        <is>
          <t>стремянка 97943</t>
        </is>
      </c>
      <c r="B191" t="n">
        <v>2158.13</v>
      </c>
    </row>
    <row r="192">
      <c r="A192" t="inlineStr">
        <is>
          <t>стремянка 97844</t>
        </is>
      </c>
      <c r="B192" t="n">
        <v>2543.71</v>
      </c>
    </row>
    <row r="193">
      <c r="A193" t="inlineStr">
        <is>
          <t>886365.0</t>
        </is>
      </c>
      <c r="B193" t="n">
        <v>176.31</v>
      </c>
    </row>
    <row r="194">
      <c r="A194" t="inlineStr">
        <is>
          <t>886125.0</t>
        </is>
      </c>
      <c r="B194" t="n">
        <v>222.59</v>
      </c>
    </row>
    <row r="195">
      <c r="A195" t="inlineStr">
        <is>
          <t>675402.0</t>
        </is>
      </c>
      <c r="B195" t="n">
        <v>502.67</v>
      </c>
    </row>
    <row r="196">
      <c r="A196" t="inlineStr">
        <is>
          <t>69648.0</t>
        </is>
      </c>
      <c r="B196" t="n">
        <v>169</v>
      </c>
    </row>
    <row r="197">
      <c r="A197" t="inlineStr">
        <is>
          <t>97501.0</t>
        </is>
      </c>
      <c r="B197" t="n">
        <v>409.34</v>
      </c>
    </row>
    <row r="198">
      <c r="A198" t="inlineStr">
        <is>
          <t>97500.0</t>
        </is>
      </c>
      <c r="B198" t="n">
        <v>389.94</v>
      </c>
    </row>
    <row r="199">
      <c r="A199" t="inlineStr">
        <is>
          <t>97502.0</t>
        </is>
      </c>
      <c r="B199" t="n">
        <v>414.19</v>
      </c>
    </row>
    <row r="200">
      <c r="A200" t="inlineStr">
        <is>
          <t>97503.0</t>
        </is>
      </c>
      <c r="B200" t="n">
        <v>899.1900000000001</v>
      </c>
    </row>
    <row r="201">
      <c r="A201" t="inlineStr">
        <is>
          <t>97504.0</t>
        </is>
      </c>
      <c r="B201" t="n">
        <v>884.64</v>
      </c>
    </row>
    <row r="202">
      <c r="A202" t="inlineStr">
        <is>
          <t>97506.0</t>
        </is>
      </c>
      <c r="B202" t="n">
        <v>913.74</v>
      </c>
    </row>
    <row r="203">
      <c r="A203" t="inlineStr">
        <is>
          <t>97510.0</t>
        </is>
      </c>
      <c r="B203" t="n">
        <v>379.27</v>
      </c>
    </row>
    <row r="204">
      <c r="A204" t="inlineStr">
        <is>
          <t>97511.0</t>
        </is>
      </c>
      <c r="B204" t="n">
        <v>1791.59</v>
      </c>
    </row>
    <row r="205">
      <c r="A205" t="inlineStr">
        <is>
          <t>97512.0</t>
        </is>
      </c>
      <c r="B205" t="n">
        <v>365.69</v>
      </c>
    </row>
    <row r="206">
      <c r="A206" t="inlineStr">
        <is>
          <t>97513.0</t>
        </is>
      </c>
      <c r="B206" t="n">
        <v>1758.61</v>
      </c>
    </row>
    <row r="207">
      <c r="A207" t="inlineStr">
        <is>
          <t>97514.0</t>
        </is>
      </c>
      <c r="B207" t="n">
        <v>380.24</v>
      </c>
    </row>
    <row r="208">
      <c r="A208" t="inlineStr">
        <is>
          <t>97515.0</t>
        </is>
      </c>
      <c r="B208" t="n">
        <v>1783.83</v>
      </c>
    </row>
    <row r="209">
      <c r="A209" t="inlineStr">
        <is>
          <t>97516.0</t>
        </is>
      </c>
      <c r="B209" t="n">
        <v>370.54</v>
      </c>
    </row>
    <row r="210">
      <c r="A210" t="inlineStr">
        <is>
          <t>90751.0</t>
        </is>
      </c>
      <c r="B210" t="n">
        <v>2563.35</v>
      </c>
    </row>
    <row r="211">
      <c r="A211" t="inlineStr">
        <is>
          <t>93888-1</t>
        </is>
      </c>
      <c r="B211" t="n">
        <v>125.55</v>
      </c>
    </row>
    <row r="212">
      <c r="A212" t="inlineStr">
        <is>
          <t>94124-1</t>
        </is>
      </c>
      <c r="B212" t="n">
        <v>247.02</v>
      </c>
    </row>
    <row r="213">
      <c r="A213" t="inlineStr">
        <is>
          <t>93889-1</t>
        </is>
      </c>
      <c r="B213" t="n">
        <v>211.87</v>
      </c>
    </row>
    <row r="214">
      <c r="A214" t="inlineStr">
        <is>
          <t>938295-1</t>
        </is>
      </c>
      <c r="B214" t="n">
        <v>78.05</v>
      </c>
    </row>
    <row r="215">
      <c r="A215" t="inlineStr">
        <is>
          <t>94124.0</t>
        </is>
      </c>
      <c r="B215" t="n">
        <v>247.02</v>
      </c>
    </row>
    <row r="216">
      <c r="A216" t="inlineStr">
        <is>
          <t>93889.0</t>
        </is>
      </c>
      <c r="B216" t="n">
        <v>211.87</v>
      </c>
    </row>
    <row r="217">
      <c r="A217" t="inlineStr">
        <is>
          <t>93888.0</t>
        </is>
      </c>
      <c r="B217" t="n">
        <v>125.55</v>
      </c>
    </row>
    <row r="218">
      <c r="A218" t="inlineStr">
        <is>
          <t>938295.0</t>
        </is>
      </c>
      <c r="B218" t="n">
        <v>78.05</v>
      </c>
    </row>
    <row r="219">
      <c r="A219" t="inlineStr">
        <is>
          <t>18116.0</t>
        </is>
      </c>
      <c r="B219" t="n">
        <v>16173.21</v>
      </c>
    </row>
    <row r="220">
      <c r="A220" t="inlineStr">
        <is>
          <t>59608.0</t>
        </is>
      </c>
      <c r="B220" t="n">
        <v>5345.67</v>
      </c>
    </row>
    <row r="221">
      <c r="A221" t="inlineStr">
        <is>
          <t>90738.0</t>
        </is>
      </c>
      <c r="B221" t="n">
        <v>372.66</v>
      </c>
    </row>
    <row r="222">
      <c r="A222" t="inlineStr">
        <is>
          <t>777715.0</t>
        </is>
      </c>
      <c r="B222" t="n">
        <v>10.84</v>
      </c>
    </row>
    <row r="223">
      <c r="A223" t="inlineStr">
        <is>
          <t>61370.0</t>
        </is>
      </c>
      <c r="B223" t="n">
        <v>759.3200000000001</v>
      </c>
    </row>
    <row r="224">
      <c r="A224" t="inlineStr">
        <is>
          <t>61371.0</t>
        </is>
      </c>
      <c r="B224" t="n">
        <v>1281.37</v>
      </c>
    </row>
    <row r="225">
      <c r="A225" t="inlineStr">
        <is>
          <t>61385.0</t>
        </is>
      </c>
      <c r="B225" t="n">
        <v>616.95</v>
      </c>
    </row>
    <row r="226">
      <c r="A226" t="inlineStr">
        <is>
          <t>70472.0</t>
        </is>
      </c>
      <c r="B226" t="n">
        <v>739.72</v>
      </c>
    </row>
    <row r="227">
      <c r="A227" t="inlineStr">
        <is>
          <t>99801.0</t>
        </is>
      </c>
      <c r="B227" t="n">
        <v>7493.25</v>
      </c>
    </row>
    <row r="228">
      <c r="A228" t="inlineStr">
        <is>
          <t>99802.0</t>
        </is>
      </c>
      <c r="B228" t="n">
        <v>10090.91</v>
      </c>
    </row>
    <row r="229">
      <c r="A229" t="inlineStr">
        <is>
          <t>63217.0</t>
        </is>
      </c>
      <c r="B229" t="n">
        <v>293</v>
      </c>
    </row>
    <row r="230">
      <c r="A230" t="inlineStr">
        <is>
          <t>58233.0</t>
        </is>
      </c>
      <c r="B230" t="n">
        <v>10155.9</v>
      </c>
    </row>
    <row r="231">
      <c r="A231" t="inlineStr">
        <is>
          <t>331265.0</t>
        </is>
      </c>
      <c r="B231" t="n">
        <v>250.4</v>
      </c>
    </row>
    <row r="232">
      <c r="A232" t="inlineStr">
        <is>
          <t>18620.0</t>
        </is>
      </c>
      <c r="B232" t="n">
        <v>3333</v>
      </c>
    </row>
    <row r="233">
      <c r="A233" t="inlineStr">
        <is>
          <t>18621.0</t>
        </is>
      </c>
      <c r="B233" t="n">
        <v>4386.05</v>
      </c>
    </row>
    <row r="234">
      <c r="A234" t="inlineStr">
        <is>
          <t>330205.0</t>
        </is>
      </c>
      <c r="B234" t="n">
        <v>183.68</v>
      </c>
    </row>
    <row r="235">
      <c r="A235" t="inlineStr">
        <is>
          <t>330235.0</t>
        </is>
      </c>
      <c r="B235" t="n">
        <v>249.42</v>
      </c>
    </row>
    <row r="236">
      <c r="A236" t="inlineStr">
        <is>
          <t>330265.0</t>
        </is>
      </c>
      <c r="B236" t="n">
        <v>289.44</v>
      </c>
    </row>
    <row r="237">
      <c r="A237" t="inlineStr">
        <is>
          <t>330295.0</t>
        </is>
      </c>
      <c r="B237" t="n">
        <v>349.38</v>
      </c>
    </row>
    <row r="238">
      <c r="A238" t="inlineStr">
        <is>
          <t>331205.0</t>
        </is>
      </c>
      <c r="B238" t="n">
        <v>185.27</v>
      </c>
    </row>
    <row r="239">
      <c r="A239" t="inlineStr">
        <is>
          <t>331235.0</t>
        </is>
      </c>
      <c r="B239" t="n">
        <v>230.35</v>
      </c>
    </row>
    <row r="240">
      <c r="A240" t="inlineStr">
        <is>
          <t>331295.0</t>
        </is>
      </c>
      <c r="B240" t="n">
        <v>289.1</v>
      </c>
    </row>
    <row r="241">
      <c r="A241" t="inlineStr">
        <is>
          <t>346055.0</t>
        </is>
      </c>
      <c r="B241" t="n">
        <v>126.11</v>
      </c>
    </row>
    <row r="242">
      <c r="A242" t="inlineStr">
        <is>
          <t>185115.0</t>
        </is>
      </c>
      <c r="B242" t="n">
        <v>489.81</v>
      </c>
    </row>
    <row r="243">
      <c r="A243" t="inlineStr">
        <is>
          <t>18508.0</t>
        </is>
      </c>
      <c r="B243" t="n">
        <v>1774.94</v>
      </c>
    </row>
    <row r="244">
      <c r="A244" t="inlineStr">
        <is>
          <t>18600.0</t>
        </is>
      </c>
      <c r="B244" t="n">
        <v>3316.01</v>
      </c>
    </row>
    <row r="245">
      <c r="A245" t="inlineStr">
        <is>
          <t>18601.0</t>
        </is>
      </c>
      <c r="B245" t="n">
        <v>4672.74</v>
      </c>
    </row>
    <row r="246">
      <c r="A246" t="inlineStr">
        <is>
          <t>18618.0</t>
        </is>
      </c>
      <c r="B246" t="n">
        <v>2417.82</v>
      </c>
    </row>
    <row r="247">
      <c r="A247" t="inlineStr">
        <is>
          <t>331355.0</t>
        </is>
      </c>
      <c r="B247" t="n">
        <v>398.08</v>
      </c>
    </row>
    <row r="248">
      <c r="A248" t="inlineStr">
        <is>
          <t>67500.0</t>
        </is>
      </c>
      <c r="B248" t="n">
        <v>112.52</v>
      </c>
    </row>
    <row r="249">
      <c r="A249" t="inlineStr">
        <is>
          <t>67510.0</t>
        </is>
      </c>
      <c r="B249" t="n">
        <v>226.01</v>
      </c>
    </row>
    <row r="250">
      <c r="A250" t="inlineStr">
        <is>
          <t>67515.0</t>
        </is>
      </c>
      <c r="B250" t="n">
        <v>270.63</v>
      </c>
    </row>
    <row r="251">
      <c r="A251" t="inlineStr">
        <is>
          <t>689965.0</t>
        </is>
      </c>
      <c r="B251" t="n">
        <v>7383.35</v>
      </c>
    </row>
    <row r="252">
      <c r="A252" t="inlineStr">
        <is>
          <t>26981.0</t>
        </is>
      </c>
      <c r="B252" t="n">
        <v>2938.13</v>
      </c>
    </row>
    <row r="253">
      <c r="A253" t="inlineStr">
        <is>
          <t>62031.0</t>
        </is>
      </c>
      <c r="B253" t="n">
        <v>2462.78</v>
      </c>
    </row>
    <row r="254">
      <c r="A254" t="inlineStr">
        <is>
          <t>67520.0</t>
        </is>
      </c>
      <c r="B254" t="n">
        <v>324.95</v>
      </c>
    </row>
    <row r="255">
      <c r="A255" t="inlineStr">
        <is>
          <t>67521.0</t>
        </is>
      </c>
      <c r="B255" t="n">
        <v>385.09</v>
      </c>
    </row>
    <row r="256">
      <c r="A256" t="inlineStr">
        <is>
          <t>743133.0</t>
        </is>
      </c>
      <c r="B256" t="n">
        <v>229.79</v>
      </c>
    </row>
    <row r="257">
      <c r="A257" t="inlineStr">
        <is>
          <t>78539.0</t>
        </is>
      </c>
      <c r="B257" t="n">
        <v>4799.72</v>
      </c>
    </row>
    <row r="258">
      <c r="A258" t="inlineStr">
        <is>
          <t>78540.0</t>
        </is>
      </c>
      <c r="B258" t="n">
        <v>1374.52</v>
      </c>
    </row>
    <row r="259">
      <c r="A259" t="inlineStr">
        <is>
          <t>77337.0</t>
        </is>
      </c>
      <c r="B259" t="n">
        <v>4318.73</v>
      </c>
    </row>
    <row r="260">
      <c r="A260" t="inlineStr">
        <is>
          <t>77339.0</t>
        </is>
      </c>
      <c r="B260" t="n">
        <v>6240.77</v>
      </c>
    </row>
    <row r="261">
      <c r="A261" t="inlineStr">
        <is>
          <t>77345.0</t>
        </is>
      </c>
      <c r="B261" t="n">
        <v>2096.62</v>
      </c>
    </row>
    <row r="262">
      <c r="A262" t="inlineStr">
        <is>
          <t>78525.0</t>
        </is>
      </c>
      <c r="B262" t="n">
        <v>671.53</v>
      </c>
    </row>
    <row r="263">
      <c r="A263" t="inlineStr">
        <is>
          <t>743137.0</t>
        </is>
      </c>
      <c r="B263" t="n">
        <v>22.98</v>
      </c>
    </row>
    <row r="264">
      <c r="A264" t="inlineStr">
        <is>
          <t>7431370.0</t>
        </is>
      </c>
      <c r="B264" t="n">
        <v>296.73</v>
      </c>
    </row>
    <row r="265">
      <c r="A265" t="inlineStr">
        <is>
          <t>степлет42002</t>
        </is>
      </c>
      <c r="B265" t="n">
        <v>455.29</v>
      </c>
    </row>
    <row r="266">
      <c r="A266" t="inlineStr">
        <is>
          <t>степлет41000</t>
        </is>
      </c>
      <c r="B266" t="n">
        <v>1156.06</v>
      </c>
    </row>
    <row r="267">
      <c r="A267" t="inlineStr">
        <is>
          <t>40917.0</t>
        </is>
      </c>
      <c r="B267" t="n">
        <v>1257.82</v>
      </c>
    </row>
    <row r="268">
      <c r="A268" t="inlineStr">
        <is>
          <t>40916.0</t>
        </is>
      </c>
      <c r="B268" t="n">
        <v>1005</v>
      </c>
    </row>
    <row r="269">
      <c r="A269" t="inlineStr">
        <is>
          <t>40223.0</t>
        </is>
      </c>
      <c r="B269" t="n">
        <v>1238.93</v>
      </c>
    </row>
    <row r="270">
      <c r="A270" t="inlineStr">
        <is>
          <t>40222.0</t>
        </is>
      </c>
      <c r="B270" t="n">
        <v>988.21</v>
      </c>
    </row>
    <row r="271">
      <c r="A271" t="inlineStr">
        <is>
          <t>40215.0</t>
        </is>
      </c>
      <c r="B271" t="n">
        <v>2554.45</v>
      </c>
    </row>
    <row r="272">
      <c r="A272" t="inlineStr">
        <is>
          <t>40211.0</t>
        </is>
      </c>
      <c r="B272" t="n">
        <v>1256.77</v>
      </c>
    </row>
    <row r="273">
      <c r="A273" t="inlineStr">
        <is>
          <t>40101.0</t>
        </is>
      </c>
      <c r="B273" t="n">
        <v>993.61</v>
      </c>
    </row>
    <row r="274">
      <c r="A274" t="inlineStr">
        <is>
          <t>13423.0</t>
        </is>
      </c>
      <c r="B274" t="n">
        <v>1203.42</v>
      </c>
    </row>
    <row r="275">
      <c r="A275" t="inlineStr">
        <is>
          <t>13394.0</t>
        </is>
      </c>
      <c r="B275" t="n">
        <v>6785.68</v>
      </c>
    </row>
    <row r="276">
      <c r="A276" t="inlineStr">
        <is>
          <t>13396.0</t>
        </is>
      </c>
      <c r="B276" t="n">
        <v>7515.21</v>
      </c>
    </row>
    <row r="277">
      <c r="A277" t="inlineStr">
        <is>
          <t>13391.0</t>
        </is>
      </c>
      <c r="B277" t="n">
        <v>5733.11</v>
      </c>
    </row>
    <row r="278">
      <c r="A278" t="inlineStr">
        <is>
          <t>13389.0</t>
        </is>
      </c>
      <c r="B278" t="n">
        <v>5749.7</v>
      </c>
    </row>
    <row r="279">
      <c r="A279" t="inlineStr">
        <is>
          <t>906035.0</t>
        </is>
      </c>
      <c r="B279" t="n">
        <v>1456.89</v>
      </c>
    </row>
    <row r="280">
      <c r="A280" t="inlineStr">
        <is>
          <t>90809.0</t>
        </is>
      </c>
      <c r="B280" t="n">
        <v>1336</v>
      </c>
    </row>
    <row r="281">
      <c r="A281" t="inlineStr">
        <is>
          <t>90807.0</t>
        </is>
      </c>
      <c r="B281" t="n">
        <v>569</v>
      </c>
    </row>
    <row r="282">
      <c r="A282" t="inlineStr">
        <is>
          <t>67481.0</t>
        </is>
      </c>
      <c r="B282" t="n">
        <v>1316.81</v>
      </c>
    </row>
    <row r="283">
      <c r="A283" t="inlineStr">
        <is>
          <t>67111.0</t>
        </is>
      </c>
      <c r="B283" t="n">
        <v>2369.71</v>
      </c>
    </row>
    <row r="284">
      <c r="A284" t="inlineStr">
        <is>
          <t>67464.0</t>
        </is>
      </c>
      <c r="B284" t="n">
        <v>1596.62</v>
      </c>
    </row>
    <row r="285">
      <c r="A285" t="inlineStr">
        <is>
          <t>67465.0</t>
        </is>
      </c>
      <c r="B285" t="n">
        <v>2621.91</v>
      </c>
    </row>
    <row r="286">
      <c r="A286" t="inlineStr">
        <is>
          <t>673596.0</t>
        </is>
      </c>
      <c r="B286" t="n">
        <v>1974.91</v>
      </c>
    </row>
    <row r="287">
      <c r="A287" t="inlineStr">
        <is>
          <t>67364.0</t>
        </is>
      </c>
      <c r="B287" t="n">
        <v>2867.42</v>
      </c>
    </row>
    <row r="288">
      <c r="A288" t="inlineStr">
        <is>
          <t>673546.0</t>
        </is>
      </c>
      <c r="B288" t="n">
        <v>1387</v>
      </c>
    </row>
    <row r="289">
      <c r="A289" t="inlineStr">
        <is>
          <t>67655.0</t>
        </is>
      </c>
      <c r="B289" t="n">
        <v>2636</v>
      </c>
    </row>
    <row r="290">
      <c r="A290" t="inlineStr">
        <is>
          <t>876355.0</t>
        </is>
      </c>
      <c r="B290" t="n">
        <v>1976.44</v>
      </c>
    </row>
    <row r="291">
      <c r="A291" t="inlineStr">
        <is>
          <t>87583.0</t>
        </is>
      </c>
      <c r="B291" t="n">
        <v>8631.15</v>
      </c>
    </row>
    <row r="292">
      <c r="A292" t="inlineStr">
        <is>
          <t>87691.0</t>
        </is>
      </c>
      <c r="B292" t="n">
        <v>9033</v>
      </c>
    </row>
    <row r="293">
      <c r="A293" t="inlineStr">
        <is>
          <t>87689.0</t>
        </is>
      </c>
      <c r="B293" t="n">
        <v>7731.69</v>
      </c>
    </row>
    <row r="294">
      <c r="A294" t="inlineStr">
        <is>
          <t>87658.0</t>
        </is>
      </c>
      <c r="B294" t="n">
        <v>4348.27</v>
      </c>
    </row>
    <row r="295">
      <c r="A295" t="inlineStr">
        <is>
          <t>69510.0</t>
        </is>
      </c>
      <c r="B295" t="n">
        <v>37.22</v>
      </c>
    </row>
    <row r="296">
      <c r="A296" t="inlineStr">
        <is>
          <t>69509.0</t>
        </is>
      </c>
      <c r="B296" t="n">
        <v>45.7</v>
      </c>
    </row>
    <row r="297">
      <c r="A297" t="inlineStr">
        <is>
          <t>69508.0</t>
        </is>
      </c>
      <c r="B297" t="n">
        <v>45.7</v>
      </c>
    </row>
    <row r="298">
      <c r="A298" t="inlineStr">
        <is>
          <t>69002.0</t>
        </is>
      </c>
      <c r="B298" t="n">
        <v>386.06</v>
      </c>
    </row>
    <row r="299">
      <c r="A299" t="inlineStr">
        <is>
          <t>69513.0</t>
        </is>
      </c>
      <c r="B299" t="n">
        <v>45.28</v>
      </c>
    </row>
    <row r="300">
      <c r="A300" t="inlineStr">
        <is>
          <t>69512.0</t>
        </is>
      </c>
      <c r="B300" t="n">
        <v>45.28</v>
      </c>
    </row>
    <row r="301">
      <c r="A301" t="inlineStr">
        <is>
          <t>69595.0</t>
        </is>
      </c>
      <c r="B301" t="n">
        <v>1618.92</v>
      </c>
    </row>
    <row r="302">
      <c r="A302" t="inlineStr">
        <is>
          <t>69592.0</t>
        </is>
      </c>
      <c r="B302" t="n">
        <v>2512.04</v>
      </c>
    </row>
    <row r="303">
      <c r="A303" t="inlineStr">
        <is>
          <t>69589.0</t>
        </is>
      </c>
      <c r="B303" t="n">
        <v>489.56</v>
      </c>
    </row>
    <row r="304">
      <c r="A304" t="inlineStr">
        <is>
          <t>69597.0</t>
        </is>
      </c>
      <c r="B304" t="n">
        <v>1861.99</v>
      </c>
    </row>
    <row r="305">
      <c r="A305" t="inlineStr">
        <is>
          <t>87619.0</t>
        </is>
      </c>
      <c r="B305" t="n">
        <v>1437.25</v>
      </c>
    </row>
    <row r="306">
      <c r="A306" t="inlineStr">
        <is>
          <t>28005.0</t>
        </is>
      </c>
      <c r="B306" t="n">
        <v>4154.51</v>
      </c>
    </row>
    <row r="307">
      <c r="A307" t="inlineStr">
        <is>
          <t>69543.0</t>
        </is>
      </c>
      <c r="B307" t="n">
        <v>28.83</v>
      </c>
    </row>
    <row r="308">
      <c r="A308" t="inlineStr">
        <is>
          <t>Щепа69633</t>
        </is>
      </c>
      <c r="B308" t="n">
        <v>18.98</v>
      </c>
    </row>
    <row r="309">
      <c r="A309" t="inlineStr">
        <is>
          <t>69511.0</t>
        </is>
      </c>
      <c r="B309" t="n">
        <v>37.22</v>
      </c>
    </row>
    <row r="310">
      <c r="A310" t="inlineStr">
        <is>
          <t>Щепа69510</t>
        </is>
      </c>
      <c r="B310" t="n">
        <v>37.22</v>
      </c>
    </row>
    <row r="311">
      <c r="A311" t="inlineStr">
        <is>
          <t>69608.0</t>
        </is>
      </c>
      <c r="B311" t="n">
        <v>1194.92</v>
      </c>
    </row>
    <row r="312">
      <c r="A312" t="inlineStr">
        <is>
          <t>69607.0</t>
        </is>
      </c>
      <c r="B312" t="n">
        <v>2926.8</v>
      </c>
    </row>
    <row r="313">
      <c r="A313" t="inlineStr">
        <is>
          <t>69602.0</t>
        </is>
      </c>
      <c r="B313" t="n">
        <v>1188.93</v>
      </c>
    </row>
    <row r="314">
      <c r="A314" t="inlineStr">
        <is>
          <t>69606.0</t>
        </is>
      </c>
      <c r="B314" t="n">
        <v>3814.43</v>
      </c>
    </row>
    <row r="315">
      <c r="A315" t="inlineStr">
        <is>
          <t>69646.0</t>
        </is>
      </c>
      <c r="B315" t="n">
        <v>279.75</v>
      </c>
    </row>
    <row r="316">
      <c r="A316" t="inlineStr">
        <is>
          <t>69669.0</t>
        </is>
      </c>
      <c r="B316" t="n">
        <v>7493.25</v>
      </c>
    </row>
    <row r="317">
      <c r="A317" t="inlineStr">
        <is>
          <t>69734.0</t>
        </is>
      </c>
      <c r="B317" t="n">
        <v>2198.02</v>
      </c>
    </row>
    <row r="318">
      <c r="A318" t="inlineStr">
        <is>
          <t>63230.0</t>
        </is>
      </c>
      <c r="B318" t="n">
        <v>494.55</v>
      </c>
    </row>
    <row r="319">
      <c r="A319" t="inlineStr">
        <is>
          <t>69000.0</t>
        </is>
      </c>
      <c r="B319" t="n">
        <v>10980.11</v>
      </c>
    </row>
    <row r="320">
      <c r="A320" t="inlineStr">
        <is>
          <t>55203.0</t>
        </is>
      </c>
      <c r="B320" t="n">
        <v>71.8</v>
      </c>
    </row>
    <row r="321">
      <c r="A321" t="inlineStr">
        <is>
          <t>53112.0</t>
        </is>
      </c>
      <c r="B321" t="n">
        <v>746</v>
      </c>
    </row>
    <row r="322">
      <c r="A322" t="inlineStr">
        <is>
          <t>53110.0</t>
        </is>
      </c>
      <c r="B322" t="n">
        <v>359.14</v>
      </c>
    </row>
    <row r="323">
      <c r="A323" t="inlineStr">
        <is>
          <t>53145.0</t>
        </is>
      </c>
      <c r="B323" t="n">
        <v>2148.71</v>
      </c>
    </row>
    <row r="324">
      <c r="A324" t="inlineStr">
        <is>
          <t>53144.0</t>
        </is>
      </c>
      <c r="B324" t="n">
        <v>1915.1</v>
      </c>
    </row>
    <row r="325">
      <c r="A325" t="inlineStr">
        <is>
          <t>53143.0</t>
        </is>
      </c>
      <c r="B325" t="n">
        <v>1694.88</v>
      </c>
    </row>
    <row r="326">
      <c r="A326" t="inlineStr">
        <is>
          <t>53127.0</t>
        </is>
      </c>
      <c r="B326" t="n">
        <v>1227.71</v>
      </c>
    </row>
    <row r="327">
      <c r="A327" t="inlineStr">
        <is>
          <t>53124.0</t>
        </is>
      </c>
      <c r="B327" t="n">
        <v>497.18</v>
      </c>
    </row>
    <row r="328">
      <c r="A328" t="inlineStr">
        <is>
          <t>53111.0</t>
        </is>
      </c>
      <c r="B328" t="n">
        <v>409</v>
      </c>
    </row>
    <row r="329">
      <c r="A329" t="inlineStr">
        <is>
          <t>94006.0</t>
        </is>
      </c>
      <c r="B329" t="n">
        <v>728.47</v>
      </c>
    </row>
    <row r="330">
      <c r="A330" t="inlineStr">
        <is>
          <t>94086.0</t>
        </is>
      </c>
      <c r="B330" t="n">
        <v>614.01</v>
      </c>
    </row>
    <row r="331">
      <c r="A331" t="inlineStr">
        <is>
          <t>94090.0</t>
        </is>
      </c>
      <c r="B331" t="n">
        <v>195.82</v>
      </c>
    </row>
    <row r="332">
      <c r="A332" t="inlineStr">
        <is>
          <t>93911.0</t>
        </is>
      </c>
      <c r="B332" t="n">
        <v>249.29</v>
      </c>
    </row>
    <row r="333">
      <c r="A333" t="inlineStr">
        <is>
          <t>939115.0</t>
        </is>
      </c>
      <c r="B333" t="n">
        <v>212.43</v>
      </c>
    </row>
    <row r="334">
      <c r="A334" t="inlineStr">
        <is>
          <t>93912.0</t>
        </is>
      </c>
      <c r="B334" t="n">
        <v>282.96</v>
      </c>
    </row>
    <row r="335">
      <c r="A335" t="inlineStr">
        <is>
          <t>93913.0</t>
        </is>
      </c>
      <c r="B335" t="n">
        <v>346.01</v>
      </c>
    </row>
    <row r="336">
      <c r="A336" t="inlineStr">
        <is>
          <t>93914.0</t>
        </is>
      </c>
      <c r="B336" t="n">
        <v>349.12</v>
      </c>
    </row>
    <row r="337">
      <c r="A337" t="inlineStr">
        <is>
          <t>939145.0</t>
        </is>
      </c>
      <c r="B337" t="n">
        <v>526.71</v>
      </c>
    </row>
    <row r="338">
      <c r="A338" t="inlineStr">
        <is>
          <t>939155.0</t>
        </is>
      </c>
      <c r="B338" t="n">
        <v>393.82</v>
      </c>
    </row>
    <row r="339">
      <c r="A339" t="inlineStr">
        <is>
          <t>939265.0</t>
        </is>
      </c>
      <c r="B339" t="n">
        <v>383.15</v>
      </c>
    </row>
    <row r="340">
      <c r="A340" t="inlineStr">
        <is>
          <t>94087.0</t>
        </is>
      </c>
      <c r="B340" t="n">
        <v>1148.48</v>
      </c>
    </row>
    <row r="341">
      <c r="A341" t="inlineStr">
        <is>
          <t>939275.0</t>
        </is>
      </c>
      <c r="B341" t="n">
        <v>680.9400000000001</v>
      </c>
    </row>
    <row r="342">
      <c r="A342" t="inlineStr">
        <is>
          <t>93919.0</t>
        </is>
      </c>
      <c r="B342" t="n">
        <v>743.02</v>
      </c>
    </row>
    <row r="343">
      <c r="A343" t="inlineStr">
        <is>
          <t>93915.0</t>
        </is>
      </c>
      <c r="B343" t="n">
        <v>506.34</v>
      </c>
    </row>
    <row r="344">
      <c r="A344" t="inlineStr">
        <is>
          <t>94098.0</t>
        </is>
      </c>
      <c r="B344" t="n">
        <v>399.64</v>
      </c>
    </row>
    <row r="345">
      <c r="A345" t="inlineStr">
        <is>
          <t>94089.0</t>
        </is>
      </c>
      <c r="B345" t="n">
        <v>146.87</v>
      </c>
    </row>
    <row r="346">
      <c r="A346" t="inlineStr">
        <is>
          <t>94085.0</t>
        </is>
      </c>
      <c r="B346" t="n">
        <v>700</v>
      </c>
    </row>
    <row r="347">
      <c r="A347" t="inlineStr">
        <is>
          <t>94084.0</t>
        </is>
      </c>
      <c r="B347" t="n">
        <v>485.97</v>
      </c>
    </row>
    <row r="348">
      <c r="A348" t="inlineStr">
        <is>
          <t>97505.0</t>
        </is>
      </c>
      <c r="B348" t="n">
        <v>799.28</v>
      </c>
    </row>
    <row r="349">
      <c r="A349" t="inlineStr">
        <is>
          <t>61678.0</t>
        </is>
      </c>
      <c r="B349" t="n">
        <v>1372.95</v>
      </c>
    </row>
    <row r="350">
      <c r="A350" t="inlineStr">
        <is>
          <t>64303.0</t>
        </is>
      </c>
      <c r="B350" t="n">
        <v>134.83</v>
      </c>
    </row>
    <row r="351">
      <c r="A351" t="inlineStr">
        <is>
          <t>64302.0</t>
        </is>
      </c>
      <c r="B351" t="n">
        <v>79</v>
      </c>
    </row>
    <row r="352">
      <c r="A352" t="inlineStr">
        <is>
          <t>64493.0</t>
        </is>
      </c>
      <c r="B352" t="n">
        <v>225.72</v>
      </c>
    </row>
    <row r="353">
      <c r="A353" t="inlineStr">
        <is>
          <t>62391.0</t>
        </is>
      </c>
      <c r="B353" t="n">
        <v>77.59999999999999</v>
      </c>
    </row>
    <row r="354">
      <c r="A354" t="inlineStr">
        <is>
          <t>62647.0</t>
        </is>
      </c>
      <c r="B354" t="n">
        <v>247.78</v>
      </c>
    </row>
    <row r="355">
      <c r="A355" t="inlineStr">
        <is>
          <t>62645.0</t>
        </is>
      </c>
      <c r="B355" t="n">
        <v>239.78</v>
      </c>
    </row>
    <row r="356">
      <c r="A356" t="inlineStr">
        <is>
          <t>626096.0</t>
        </is>
      </c>
      <c r="B356" t="n">
        <v>142.59</v>
      </c>
    </row>
    <row r="357">
      <c r="A357" t="inlineStr">
        <is>
          <t>626095.0</t>
        </is>
      </c>
      <c r="B357" t="n">
        <v>154.23</v>
      </c>
    </row>
    <row r="358">
      <c r="A358" t="inlineStr">
        <is>
          <t>62606.0</t>
        </is>
      </c>
      <c r="B358" t="n">
        <v>189.15</v>
      </c>
    </row>
    <row r="359">
      <c r="A359" t="inlineStr">
        <is>
          <t>62605.0</t>
        </is>
      </c>
      <c r="B359" t="n">
        <v>220.19</v>
      </c>
    </row>
    <row r="360">
      <c r="A360" t="inlineStr">
        <is>
          <t>62060.0</t>
        </is>
      </c>
      <c r="B360" t="n">
        <v>241.78</v>
      </c>
    </row>
    <row r="361">
      <c r="A361" t="inlineStr">
        <is>
          <t>62070.0</t>
        </is>
      </c>
      <c r="B361" t="n">
        <v>610.45</v>
      </c>
    </row>
    <row r="362">
      <c r="A362" t="inlineStr">
        <is>
          <t>62067.0</t>
        </is>
      </c>
      <c r="B362" t="n">
        <v>352.11</v>
      </c>
    </row>
    <row r="363">
      <c r="A363" t="inlineStr">
        <is>
          <t>62066.0</t>
        </is>
      </c>
      <c r="B363" t="n">
        <v>361.81</v>
      </c>
    </row>
    <row r="364">
      <c r="A364" t="inlineStr">
        <is>
          <t>62052.0</t>
        </is>
      </c>
      <c r="B364" t="n">
        <v>508.28</v>
      </c>
    </row>
    <row r="365">
      <c r="A365" t="inlineStr">
        <is>
          <t>620375.0</t>
        </is>
      </c>
      <c r="B365" t="n">
        <v>170</v>
      </c>
    </row>
    <row r="366">
      <c r="A366" t="inlineStr">
        <is>
          <t>62036.0</t>
        </is>
      </c>
      <c r="B366" t="n">
        <v>230.86</v>
      </c>
    </row>
    <row r="367">
      <c r="A367" t="inlineStr">
        <is>
          <t>28002.0</t>
        </is>
      </c>
      <c r="B367" t="n">
        <v>2307.63</v>
      </c>
    </row>
    <row r="368">
      <c r="A368" t="inlineStr">
        <is>
          <t>26602.0</t>
        </is>
      </c>
      <c r="B368" t="n">
        <v>4835.45</v>
      </c>
    </row>
    <row r="369">
      <c r="A369" t="inlineStr">
        <is>
          <t>58235.0</t>
        </is>
      </c>
      <c r="B369" t="n">
        <v>12568.29</v>
      </c>
    </row>
    <row r="370">
      <c r="A370" t="inlineStr">
        <is>
          <t>58232.0</t>
        </is>
      </c>
      <c r="B370" t="n">
        <v>6624.13</v>
      </c>
    </row>
    <row r="371">
      <c r="A371" t="inlineStr">
        <is>
          <t>58228.0</t>
        </is>
      </c>
      <c r="B371" t="n">
        <v>10159.78</v>
      </c>
    </row>
    <row r="372">
      <c r="A372" t="inlineStr">
        <is>
          <t>58226.0</t>
        </is>
      </c>
      <c r="B372" t="n">
        <v>6785.15</v>
      </c>
    </row>
    <row r="373">
      <c r="A373" t="inlineStr">
        <is>
          <t>58222.0</t>
        </is>
      </c>
      <c r="B373" t="n">
        <v>8077.19</v>
      </c>
    </row>
    <row r="374">
      <c r="A374" t="inlineStr">
        <is>
          <t>11564.0</t>
        </is>
      </c>
      <c r="B374" t="n">
        <v>290.39</v>
      </c>
    </row>
    <row r="375">
      <c r="A375" t="inlineStr">
        <is>
          <t>102105молоток</t>
        </is>
      </c>
      <c r="B375" t="n">
        <v>256.99</v>
      </c>
    </row>
    <row r="376">
      <c r="A376" t="inlineStr">
        <is>
          <t>61391.0</t>
        </is>
      </c>
      <c r="B376" t="n">
        <v>1110.5</v>
      </c>
    </row>
    <row r="377">
      <c r="A377" t="inlineStr">
        <is>
          <t>61472.0</t>
        </is>
      </c>
      <c r="B377" t="n">
        <v>1162.7</v>
      </c>
    </row>
    <row r="378">
      <c r="A378" t="inlineStr">
        <is>
          <t>61611.0</t>
        </is>
      </c>
      <c r="B378" t="n">
        <v>1353.15</v>
      </c>
    </row>
    <row r="379">
      <c r="A379" t="inlineStr">
        <is>
          <t>61390.0</t>
        </is>
      </c>
      <c r="B379" t="n">
        <v>1072.54</v>
      </c>
    </row>
    <row r="380">
      <c r="A380" t="inlineStr">
        <is>
          <t>61305.0</t>
        </is>
      </c>
      <c r="B380" t="n">
        <v>1028.2</v>
      </c>
    </row>
    <row r="381">
      <c r="A381" t="inlineStr">
        <is>
          <t>61304.0</t>
        </is>
      </c>
      <c r="B381" t="n">
        <v>943.8099999999999</v>
      </c>
    </row>
    <row r="382">
      <c r="A382" t="inlineStr">
        <is>
          <t>61378.0</t>
        </is>
      </c>
      <c r="B382" t="n">
        <v>1093.19</v>
      </c>
    </row>
    <row r="383">
      <c r="A383" t="inlineStr">
        <is>
          <t>61303.0</t>
        </is>
      </c>
      <c r="B383" t="n">
        <v>975.8200000000001</v>
      </c>
    </row>
    <row r="384">
      <c r="A384" t="inlineStr">
        <is>
          <t>61302.0</t>
        </is>
      </c>
      <c r="B384" t="n">
        <v>991.34</v>
      </c>
    </row>
    <row r="385">
      <c r="A385" t="inlineStr">
        <is>
          <t>61301.0</t>
        </is>
      </c>
      <c r="B385" t="n">
        <v>975.8200000000001</v>
      </c>
    </row>
    <row r="386">
      <c r="A386" t="inlineStr">
        <is>
          <t>61300.0</t>
        </is>
      </c>
      <c r="B386" t="n">
        <v>943.8099999999999</v>
      </c>
    </row>
    <row r="387">
      <c r="A387" t="inlineStr">
        <is>
          <t>28007.0</t>
        </is>
      </c>
      <c r="B387" t="n">
        <v>6053.77</v>
      </c>
    </row>
    <row r="388">
      <c r="A388" t="inlineStr">
        <is>
          <t>21645.0</t>
        </is>
      </c>
      <c r="B388" t="n">
        <v>659.02</v>
      </c>
    </row>
    <row r="389">
      <c r="A389" t="inlineStr">
        <is>
          <t>61695.0</t>
        </is>
      </c>
      <c r="B389" t="n">
        <v>1868.32</v>
      </c>
    </row>
    <row r="390">
      <c r="A390" t="inlineStr">
        <is>
          <t>61389.0</t>
        </is>
      </c>
      <c r="B390" t="n">
        <v>711.86</v>
      </c>
    </row>
    <row r="391">
      <c r="A391" t="inlineStr">
        <is>
          <t>лопата61654</t>
        </is>
      </c>
      <c r="B391" t="n">
        <v>273.1</v>
      </c>
    </row>
    <row r="392">
      <c r="A392" t="inlineStr">
        <is>
          <t>61726.0</t>
        </is>
      </c>
      <c r="B392" t="n">
        <v>1478.67</v>
      </c>
    </row>
    <row r="393">
      <c r="A393" t="inlineStr">
        <is>
          <t>61653.0</t>
        </is>
      </c>
      <c r="B393" t="n">
        <v>327.12</v>
      </c>
    </row>
    <row r="394">
      <c r="A394" t="inlineStr">
        <is>
          <t>лопата61679</t>
        </is>
      </c>
      <c r="B394" t="n">
        <v>288.51</v>
      </c>
    </row>
    <row r="395">
      <c r="A395" t="inlineStr">
        <is>
          <t>61642скреп-1</t>
        </is>
      </c>
      <c r="B395" t="n">
        <v>1027.02</v>
      </c>
    </row>
    <row r="396">
      <c r="A396" t="inlineStr">
        <is>
          <t>61618+черенок</t>
        </is>
      </c>
      <c r="B396" t="n">
        <v>299.28</v>
      </c>
    </row>
    <row r="397">
      <c r="A397" t="inlineStr">
        <is>
          <t>61617+черенок</t>
        </is>
      </c>
      <c r="B397" t="n">
        <v>299.28</v>
      </c>
    </row>
    <row r="398">
      <c r="A398" t="inlineStr">
        <is>
          <t>61616+черенок</t>
        </is>
      </c>
      <c r="B398" t="n">
        <v>299.28</v>
      </c>
    </row>
    <row r="399">
      <c r="A399" t="inlineStr">
        <is>
          <t>61644.0</t>
        </is>
      </c>
      <c r="B399" t="n">
        <v>1067.78</v>
      </c>
    </row>
    <row r="400">
      <c r="A400" t="inlineStr">
        <is>
          <t>61579.0</t>
        </is>
      </c>
      <c r="B400" t="n">
        <v>292.74</v>
      </c>
    </row>
    <row r="401">
      <c r="A401" t="inlineStr">
        <is>
          <t>61696+черенок</t>
        </is>
      </c>
      <c r="B401" t="n">
        <v>114.84</v>
      </c>
    </row>
    <row r="402">
      <c r="A402" t="inlineStr">
        <is>
          <t>61654-1</t>
        </is>
      </c>
      <c r="B402" t="n">
        <v>273.1</v>
      </c>
    </row>
    <row r="403">
      <c r="A403" t="inlineStr">
        <is>
          <t>61642.0</t>
        </is>
      </c>
      <c r="B403" t="n">
        <v>1027.02</v>
      </c>
    </row>
    <row r="404">
      <c r="A404" t="inlineStr">
        <is>
          <t>61607.0</t>
        </is>
      </c>
      <c r="B404" t="n">
        <v>1046.83</v>
      </c>
    </row>
    <row r="405">
      <c r="A405" t="inlineStr">
        <is>
          <t>лопата61566</t>
        </is>
      </c>
      <c r="B405" t="n">
        <v>339.6</v>
      </c>
    </row>
    <row r="406">
      <c r="A406" t="inlineStr">
        <is>
          <t>61574-1</t>
        </is>
      </c>
      <c r="B406" t="n">
        <v>253</v>
      </c>
    </row>
    <row r="407">
      <c r="A407" t="inlineStr">
        <is>
          <t>61653-1</t>
        </is>
      </c>
      <c r="B407" t="n">
        <v>327.12</v>
      </c>
    </row>
    <row r="408">
      <c r="A408" t="inlineStr">
        <is>
          <t>61579+черенок</t>
        </is>
      </c>
      <c r="B408" t="n">
        <v>292.74</v>
      </c>
    </row>
    <row r="409">
      <c r="A409" t="inlineStr">
        <is>
          <t>61536+черенок</t>
        </is>
      </c>
      <c r="B409" t="n">
        <v>530.52</v>
      </c>
    </row>
    <row r="410">
      <c r="A410" t="inlineStr">
        <is>
          <t>61690.0</t>
        </is>
      </c>
      <c r="B410" t="n">
        <v>1332.58</v>
      </c>
    </row>
    <row r="411">
      <c r="A411" t="inlineStr">
        <is>
          <t>61677.0</t>
        </is>
      </c>
      <c r="B411" t="n">
        <v>1276.89</v>
      </c>
    </row>
    <row r="412">
      <c r="A412" t="inlineStr">
        <is>
          <t>94701.0</t>
        </is>
      </c>
      <c r="B412" t="n">
        <v>18025</v>
      </c>
    </row>
    <row r="413">
      <c r="A413" t="inlineStr">
        <is>
          <t>27304.0</t>
        </is>
      </c>
      <c r="B413" t="n">
        <v>8492.35</v>
      </c>
    </row>
    <row r="414">
      <c r="A414" t="inlineStr">
        <is>
          <t>27301.0</t>
        </is>
      </c>
      <c r="B414" t="n">
        <v>6459.23</v>
      </c>
    </row>
    <row r="415">
      <c r="A415" t="inlineStr">
        <is>
          <t>27305.0</t>
        </is>
      </c>
      <c r="B415" t="n">
        <v>10490.55</v>
      </c>
    </row>
    <row r="416">
      <c r="A416" t="inlineStr">
        <is>
          <t>17626.0</t>
        </is>
      </c>
      <c r="B416" t="n">
        <v>191</v>
      </c>
    </row>
    <row r="417">
      <c r="A417" t="inlineStr">
        <is>
          <t>21605.0</t>
        </is>
      </c>
      <c r="B417" t="n">
        <v>388</v>
      </c>
    </row>
    <row r="418">
      <c r="A418" t="inlineStr">
        <is>
          <t>17612.0</t>
        </is>
      </c>
      <c r="B418" t="n">
        <v>361.77</v>
      </c>
    </row>
    <row r="419">
      <c r="A419" t="inlineStr">
        <is>
          <t>94203АСПТ</t>
        </is>
      </c>
      <c r="B419" t="n">
        <v>2397.84</v>
      </c>
    </row>
    <row r="420">
      <c r="A420" t="inlineStr">
        <is>
          <t>97984-1</t>
        </is>
      </c>
      <c r="B420" t="n">
        <v>2576.68</v>
      </c>
    </row>
    <row r="421">
      <c r="A421" t="inlineStr">
        <is>
          <t>94323.0</t>
        </is>
      </c>
      <c r="B421" t="n">
        <v>6641.59</v>
      </c>
    </row>
    <row r="422">
      <c r="A422" t="inlineStr">
        <is>
          <t>94324.0</t>
        </is>
      </c>
      <c r="B422" t="n">
        <v>7462.21</v>
      </c>
    </row>
    <row r="423">
      <c r="A423" t="inlineStr">
        <is>
          <t>61642скреп</t>
        </is>
      </c>
      <c r="B423" t="n">
        <v>1027.02</v>
      </c>
    </row>
    <row r="424">
      <c r="A424" t="inlineStr">
        <is>
          <t>шурик26182</t>
        </is>
      </c>
      <c r="B424" t="n">
        <v>2215</v>
      </c>
    </row>
    <row r="425">
      <c r="A425" t="inlineStr">
        <is>
          <t>522155лебедка</t>
        </is>
      </c>
      <c r="B425" t="n">
        <v>1410.97</v>
      </c>
    </row>
    <row r="426">
      <c r="A426" t="inlineStr">
        <is>
          <t>bestway366x76</t>
        </is>
      </c>
      <c r="B426" t="n">
        <v>11100</v>
      </c>
    </row>
    <row r="427">
      <c r="A427" t="inlineStr">
        <is>
          <t>basik366x76</t>
        </is>
      </c>
      <c r="B427" t="n">
        <v>11000</v>
      </c>
    </row>
    <row r="428">
      <c r="A428" t="inlineStr">
        <is>
          <t>Рулетка31017</t>
        </is>
      </c>
      <c r="B428" t="n">
        <v>122.33</v>
      </c>
    </row>
    <row r="429">
      <c r="A429" t="inlineStr">
        <is>
          <t>Рулетка31018</t>
        </is>
      </c>
      <c r="B429" t="n">
        <v>212.07</v>
      </c>
    </row>
    <row r="430">
      <c r="A430" t="inlineStr">
        <is>
          <t>Рулетка31016</t>
        </is>
      </c>
      <c r="B430" t="n">
        <v>86.73</v>
      </c>
    </row>
    <row r="431">
      <c r="A431" t="inlineStr">
        <is>
          <t>Рулетка31314</t>
        </is>
      </c>
      <c r="B431" t="n">
        <v>322.05</v>
      </c>
    </row>
    <row r="432">
      <c r="A432" t="inlineStr">
        <is>
          <t>Рулетка31312</t>
        </is>
      </c>
      <c r="B432" t="n">
        <v>129.82</v>
      </c>
    </row>
    <row r="433">
      <c r="A433" t="inlineStr">
        <is>
          <t>Рулетка31311</t>
        </is>
      </c>
      <c r="B433" t="n">
        <v>89.08</v>
      </c>
    </row>
    <row r="434">
      <c r="A434" t="inlineStr">
        <is>
          <t>Отвертки135425</t>
        </is>
      </c>
      <c r="B434" t="n">
        <v>98.91</v>
      </c>
    </row>
    <row r="435">
      <c r="A435" t="inlineStr">
        <is>
          <t>10630молоток</t>
        </is>
      </c>
      <c r="B435" t="n">
        <v>790.92</v>
      </c>
    </row>
    <row r="436">
      <c r="A436" t="inlineStr">
        <is>
          <t>10323молоток</t>
        </is>
      </c>
      <c r="B436" t="n">
        <v>355.97</v>
      </c>
    </row>
    <row r="437">
      <c r="A437" t="inlineStr">
        <is>
          <t>10626молоток</t>
        </is>
      </c>
      <c r="B437" t="n">
        <v>652.13</v>
      </c>
    </row>
    <row r="438">
      <c r="A438" t="inlineStr">
        <is>
          <t>Рулетка31302</t>
        </is>
      </c>
      <c r="B438" t="n">
        <v>84.20999999999999</v>
      </c>
    </row>
    <row r="439">
      <c r="A439" t="inlineStr">
        <is>
          <t>Угольник323425</t>
        </is>
      </c>
      <c r="B439" t="n">
        <v>110.62</v>
      </c>
    </row>
    <row r="440">
      <c r="A440" t="inlineStr">
        <is>
          <t>61667лопата</t>
        </is>
      </c>
      <c r="B440" t="n">
        <v>823.51</v>
      </c>
    </row>
    <row r="441">
      <c r="A441" t="inlineStr">
        <is>
          <t>61797скрепер</t>
        </is>
      </c>
      <c r="B441" t="n">
        <v>2126.08</v>
      </c>
    </row>
    <row r="442">
      <c r="A442" t="inlineStr">
        <is>
          <t>723004.0</t>
        </is>
      </c>
      <c r="B442" t="n">
        <v>991.51</v>
      </c>
    </row>
    <row r="443">
      <c r="A443" t="inlineStr">
        <is>
          <t>614875.0</t>
        </is>
      </c>
      <c r="B443" t="n">
        <v>267.76</v>
      </c>
    </row>
    <row r="444">
      <c r="A444" t="inlineStr">
        <is>
          <t>614635.0</t>
        </is>
      </c>
      <c r="B444" t="n">
        <v>254.77</v>
      </c>
    </row>
    <row r="445">
      <c r="A445" t="inlineStr">
        <is>
          <t>537205.0</t>
        </is>
      </c>
      <c r="B445" t="n">
        <v>92.53</v>
      </c>
    </row>
    <row r="446">
      <c r="A446" t="inlineStr">
        <is>
          <t>95238.0</t>
        </is>
      </c>
      <c r="B446" t="n">
        <v>9963.84</v>
      </c>
    </row>
    <row r="447">
      <c r="A447" t="inlineStr">
        <is>
          <t>95237.0</t>
        </is>
      </c>
      <c r="B447" t="n">
        <v>9747.530000000001</v>
      </c>
    </row>
    <row r="448">
      <c r="A448" t="inlineStr">
        <is>
          <t>95236.0</t>
        </is>
      </c>
      <c r="B448" t="n">
        <v>9628.219999999999</v>
      </c>
    </row>
    <row r="449">
      <c r="A449" t="inlineStr">
        <is>
          <t>95233.0</t>
        </is>
      </c>
      <c r="B449" t="n">
        <v>9581.66</v>
      </c>
    </row>
    <row r="450">
      <c r="A450" t="inlineStr">
        <is>
          <t>95230.0</t>
        </is>
      </c>
      <c r="B450" t="n">
        <v>9481.75</v>
      </c>
    </row>
    <row r="451">
      <c r="A451" t="inlineStr">
        <is>
          <t>95212.0</t>
        </is>
      </c>
      <c r="B451" t="n">
        <v>7543.69</v>
      </c>
    </row>
    <row r="452">
      <c r="A452" t="inlineStr">
        <is>
          <t>95211.0</t>
        </is>
      </c>
      <c r="B452" t="n">
        <v>7243.96</v>
      </c>
    </row>
    <row r="453">
      <c r="A453" t="inlineStr">
        <is>
          <t>94321.0</t>
        </is>
      </c>
      <c r="B453" t="n">
        <v>6453</v>
      </c>
    </row>
    <row r="454">
      <c r="A454" t="inlineStr">
        <is>
          <t>61696.0</t>
        </is>
      </c>
      <c r="B454" t="n">
        <v>114.84</v>
      </c>
    </row>
    <row r="455">
      <c r="A455" t="inlineStr">
        <is>
          <t>61687.0</t>
        </is>
      </c>
      <c r="B455" t="n">
        <v>189.09</v>
      </c>
    </row>
    <row r="456">
      <c r="A456" t="inlineStr">
        <is>
          <t>61656.0</t>
        </is>
      </c>
      <c r="B456" t="n">
        <v>993.87</v>
      </c>
    </row>
    <row r="457">
      <c r="A457" t="inlineStr">
        <is>
          <t>61618.0</t>
        </is>
      </c>
      <c r="B457" t="n">
        <v>299.28</v>
      </c>
    </row>
    <row r="458">
      <c r="A458" t="inlineStr">
        <is>
          <t>61617.0</t>
        </is>
      </c>
      <c r="B458" t="n">
        <v>299.28</v>
      </c>
    </row>
    <row r="459">
      <c r="A459" t="inlineStr">
        <is>
          <t>61585.0</t>
        </is>
      </c>
      <c r="B459" t="n">
        <v>877.66</v>
      </c>
    </row>
    <row r="460">
      <c r="A460" t="inlineStr">
        <is>
          <t>61616.0</t>
        </is>
      </c>
      <c r="B460" t="n">
        <v>299.28</v>
      </c>
    </row>
    <row r="461">
      <c r="A461" t="inlineStr">
        <is>
          <t>61536.0</t>
        </is>
      </c>
      <c r="B461" t="n">
        <v>530.52</v>
      </c>
    </row>
    <row r="462">
      <c r="A462" t="inlineStr">
        <is>
          <t>57429.0</t>
        </is>
      </c>
      <c r="B462" t="n">
        <v>16444.41</v>
      </c>
    </row>
    <row r="463">
      <c r="A463" t="inlineStr">
        <is>
          <t>61531.0</t>
        </is>
      </c>
      <c r="B463" t="n">
        <v>346.17</v>
      </c>
    </row>
    <row r="464">
      <c r="A464" t="inlineStr">
        <is>
          <t>57422.0</t>
        </is>
      </c>
      <c r="B464" t="n">
        <v>27175.52</v>
      </c>
    </row>
    <row r="465">
      <c r="A465" t="inlineStr">
        <is>
          <t>57421.0</t>
        </is>
      </c>
      <c r="B465" t="n">
        <v>19482.45</v>
      </c>
    </row>
    <row r="466">
      <c r="A466" t="inlineStr">
        <is>
          <t>26982.0</t>
        </is>
      </c>
      <c r="B466" t="n">
        <v>3834.41</v>
      </c>
    </row>
    <row r="467">
      <c r="A467" t="inlineStr">
        <is>
          <t>26382.0</t>
        </is>
      </c>
      <c r="B467" t="n">
        <v>1885</v>
      </c>
    </row>
    <row r="468">
      <c r="A468" t="inlineStr">
        <is>
          <t>21646.0</t>
        </is>
      </c>
      <c r="B468" t="n">
        <v>760.76</v>
      </c>
    </row>
    <row r="469">
      <c r="A469" t="inlineStr">
        <is>
          <t>26381.0</t>
        </is>
      </c>
      <c r="B469" t="n">
        <v>1679</v>
      </c>
    </row>
    <row r="470">
      <c r="A470" t="inlineStr">
        <is>
          <t>21644.0</t>
        </is>
      </c>
      <c r="B470" t="n">
        <v>587.0599999999999</v>
      </c>
    </row>
    <row r="471">
      <c r="A471" t="inlineStr">
        <is>
          <t>21610.0</t>
        </is>
      </c>
      <c r="B471" t="n">
        <v>555.15</v>
      </c>
    </row>
    <row r="472">
      <c r="A472" t="inlineStr">
        <is>
          <t>15238.0</t>
        </is>
      </c>
      <c r="B472" t="n">
        <v>1071.13</v>
      </c>
    </row>
    <row r="473">
      <c r="A473" t="inlineStr">
        <is>
          <t>15242.0</t>
        </is>
      </c>
      <c r="B473" t="n">
        <v>2274.81</v>
      </c>
    </row>
    <row r="474">
      <c r="A474" t="inlineStr">
        <is>
          <t>15236.0</t>
        </is>
      </c>
      <c r="B474" t="n">
        <v>663.65</v>
      </c>
    </row>
    <row r="475">
      <c r="A475" t="inlineStr">
        <is>
          <t>13594.0</t>
        </is>
      </c>
      <c r="B475" t="n">
        <v>794.36</v>
      </c>
    </row>
    <row r="476">
      <c r="A476" t="inlineStr">
        <is>
          <t>11317.0</t>
        </is>
      </c>
      <c r="B476" t="n">
        <v>442.03</v>
      </c>
    </row>
    <row r="477">
      <c r="A477" t="inlineStr">
        <is>
          <t>10441.0</t>
        </is>
      </c>
      <c r="B477" t="n">
        <v>522.37</v>
      </c>
    </row>
    <row r="478">
      <c r="A478" t="inlineStr">
        <is>
          <t>скрепер61689</t>
        </is>
      </c>
      <c r="B478" t="n">
        <v>2009.65</v>
      </c>
    </row>
    <row r="479">
      <c r="A479" t="inlineStr">
        <is>
          <t>скрепер61800</t>
        </is>
      </c>
      <c r="B479" t="n">
        <v>2987.31</v>
      </c>
    </row>
    <row r="480">
      <c r="A480" t="inlineStr">
        <is>
          <t>щетка55303</t>
        </is>
      </c>
      <c r="B480" t="n">
        <v>337.21</v>
      </c>
    </row>
    <row r="481">
      <c r="A481" t="inlineStr">
        <is>
          <t>щетка 55302</t>
        </is>
      </c>
      <c r="B481" t="n">
        <v>207.51</v>
      </c>
    </row>
    <row r="482">
      <c r="A482" t="inlineStr">
        <is>
          <t>щетка 552915</t>
        </is>
      </c>
      <c r="B482" t="n">
        <v>64</v>
      </c>
    </row>
    <row r="483">
      <c r="A483" t="inlineStr">
        <is>
          <t>KH-3323</t>
        </is>
      </c>
      <c r="B483" t="n">
        <v>70</v>
      </c>
    </row>
    <row r="484">
      <c r="A484" t="inlineStr">
        <is>
          <t>KH-5083</t>
        </is>
      </c>
      <c r="B484" t="n">
        <v>580</v>
      </c>
    </row>
    <row r="485">
      <c r="A485" t="inlineStr">
        <is>
          <t>ST-120B</t>
        </is>
      </c>
      <c r="B485" t="n">
        <v>1856</v>
      </c>
    </row>
    <row r="486">
      <c r="A486" t="inlineStr">
        <is>
          <t>ST-60W</t>
        </is>
      </c>
      <c r="B486" t="n">
        <v>1456</v>
      </c>
    </row>
    <row r="487">
      <c r="A487" t="inlineStr">
        <is>
          <t>KH-5424</t>
        </is>
      </c>
      <c r="B487" t="n">
        <v>240</v>
      </c>
    </row>
    <row r="488">
      <c r="A488" t="inlineStr">
        <is>
          <t>KH-5860</t>
        </is>
      </c>
      <c r="B488" t="n">
        <v>700</v>
      </c>
    </row>
    <row r="489">
      <c r="A489" t="inlineStr">
        <is>
          <t>GR-DR</t>
        </is>
      </c>
      <c r="B489" t="n">
        <v>1896</v>
      </c>
    </row>
    <row r="490">
      <c r="A490" t="inlineStr">
        <is>
          <t>MW-70RW</t>
        </is>
      </c>
      <c r="B490" t="n">
        <v>4472</v>
      </c>
    </row>
    <row r="491">
      <c r="A491" t="inlineStr">
        <is>
          <t>VF-40TMW</t>
        </is>
      </c>
      <c r="B491" t="n">
        <v>2216</v>
      </c>
    </row>
    <row r="492">
      <c r="A492" t="inlineStr">
        <is>
          <t>kh-3491</t>
        </is>
      </c>
      <c r="B492" t="n">
        <v>50</v>
      </c>
    </row>
    <row r="493">
      <c r="A493" t="inlineStr">
        <is>
          <t>kh-5475</t>
        </is>
      </c>
      <c r="B493" t="n">
        <v>190</v>
      </c>
    </row>
    <row r="494">
      <c r="A494" t="inlineStr">
        <is>
          <t>kh-4824</t>
        </is>
      </c>
      <c r="B494" t="n">
        <v>160</v>
      </c>
    </row>
    <row r="495">
      <c r="A495" t="inlineStr">
        <is>
          <t>kh-6055</t>
        </is>
      </c>
      <c r="B495" t="n">
        <v>530</v>
      </c>
    </row>
    <row r="496">
      <c r="A496" t="inlineStr">
        <is>
          <t>setkasvet</t>
        </is>
      </c>
      <c r="B496" t="n">
        <v>28</v>
      </c>
    </row>
    <row r="497">
      <c r="A497" t="inlineStr">
        <is>
          <t>MG-LK1</t>
        </is>
      </c>
      <c r="B497" t="n">
        <v>2544</v>
      </c>
    </row>
    <row r="498">
      <c r="A498" t="inlineStr">
        <is>
          <t>PI-KWSW</t>
        </is>
      </c>
      <c r="B498" t="n">
        <v>1760</v>
      </c>
    </row>
    <row r="499">
      <c r="A499" t="inlineStr">
        <is>
          <t>PI-SJFE</t>
        </is>
      </c>
      <c r="B499" t="n">
        <v>2744</v>
      </c>
    </row>
    <row r="500">
      <c r="A500" t="inlineStr">
        <is>
          <t>PI-DB3K</t>
        </is>
      </c>
      <c r="B500" t="n">
        <v>6184</v>
      </c>
    </row>
    <row r="501">
      <c r="A501" t="inlineStr">
        <is>
          <t>PI-PLMN</t>
        </is>
      </c>
      <c r="B501" t="n">
        <v>2976</v>
      </c>
    </row>
    <row r="502">
      <c r="A502" t="inlineStr">
        <is>
          <t>PI-KWSG</t>
        </is>
      </c>
      <c r="B502" t="n">
        <v>1608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продавца</t>
        </is>
      </c>
      <c r="B1" t="inlineStr">
        <is>
          <t>Комиссия FBO</t>
        </is>
      </c>
      <c r="C1" t="inlineStr">
        <is>
          <t>Комиссия FBS</t>
        </is>
      </c>
    </row>
    <row r="2">
      <c r="A2" t="inlineStr">
        <is>
          <t>sahar</t>
        </is>
      </c>
      <c r="B2" s="3" t="n">
        <v>0.245</v>
      </c>
      <c r="C2" s="3" t="n">
        <v>0.28</v>
      </c>
    </row>
    <row r="3">
      <c r="A3" t="inlineStr">
        <is>
          <t>pocket400</t>
        </is>
      </c>
      <c r="B3" t="n">
        <v>0.245</v>
      </c>
      <c r="C3" t="n">
        <v>0.28</v>
      </c>
    </row>
    <row r="4">
      <c r="A4" t="inlineStr">
        <is>
          <t>63217.0</t>
        </is>
      </c>
      <c r="B4" t="n">
        <v>0.295</v>
      </c>
      <c r="C4" t="n">
        <v>0.33</v>
      </c>
    </row>
    <row r="5">
      <c r="A5" t="inlineStr">
        <is>
          <t>KH-5885</t>
        </is>
      </c>
      <c r="B5" t="n">
        <v>0.275</v>
      </c>
      <c r="C5" t="n">
        <v>0.31</v>
      </c>
    </row>
    <row r="6">
      <c r="A6" t="inlineStr">
        <is>
          <t>denzelpushka</t>
        </is>
      </c>
      <c r="B6" t="n">
        <v>0.285</v>
      </c>
      <c r="C6" t="n">
        <v>0.32</v>
      </c>
    </row>
    <row r="7">
      <c r="A7" t="inlineStr">
        <is>
          <t>61744.0</t>
        </is>
      </c>
      <c r="B7" t="n">
        <v>0.295</v>
      </c>
      <c r="C7" t="n">
        <v>0.33</v>
      </c>
    </row>
    <row r="8">
      <c r="A8" t="inlineStr">
        <is>
          <t>42001.0</t>
        </is>
      </c>
      <c r="B8" t="n">
        <v>0.315</v>
      </c>
      <c r="C8" t="n">
        <v>0.35</v>
      </c>
    </row>
    <row r="9">
      <c r="A9" t="inlineStr">
        <is>
          <t>KH-5886</t>
        </is>
      </c>
      <c r="B9" t="n">
        <v>0.275</v>
      </c>
      <c r="C9" t="n">
        <v>0.31</v>
      </c>
    </row>
    <row r="10">
      <c r="A10" t="inlineStr">
        <is>
          <t>689615-1</t>
        </is>
      </c>
      <c r="B10" t="n">
        <v>0.295</v>
      </c>
      <c r="C10" t="n">
        <v>0.33</v>
      </c>
    </row>
    <row r="11">
      <c r="A11" t="inlineStr">
        <is>
          <t>мезороллер</t>
        </is>
      </c>
      <c r="B11" t="n">
        <v>0.315</v>
      </c>
      <c r="C11" t="n">
        <v>0.35</v>
      </c>
    </row>
    <row r="12">
      <c r="A12" t="inlineStr">
        <is>
          <t>64302.0</t>
        </is>
      </c>
      <c r="B12" t="n">
        <v>0.245</v>
      </c>
      <c r="C12" t="n">
        <v>0.245</v>
      </c>
    </row>
    <row r="13">
      <c r="A13" t="inlineStr">
        <is>
          <t>21605.0</t>
        </is>
      </c>
      <c r="B13" t="n">
        <v>0.295</v>
      </c>
      <c r="C13" t="n">
        <v>0.33</v>
      </c>
    </row>
    <row r="14">
      <c r="A14" t="inlineStr">
        <is>
          <t>61768.0</t>
        </is>
      </c>
      <c r="B14" t="n">
        <v>0.295</v>
      </c>
      <c r="C14" t="n">
        <v>0.33</v>
      </c>
    </row>
    <row r="15">
      <c r="A15" t="inlineStr">
        <is>
          <t>69520.0</t>
        </is>
      </c>
      <c r="B15" t="n">
        <v>0.235</v>
      </c>
      <c r="C15" t="n">
        <v>0.27</v>
      </c>
    </row>
    <row r="16">
      <c r="A16" t="inlineStr">
        <is>
          <t>61460.0</t>
        </is>
      </c>
      <c r="B16" t="n">
        <v>0.295</v>
      </c>
      <c r="C16" t="n">
        <v>0.33</v>
      </c>
    </row>
    <row r="17">
      <c r="A17" t="inlineStr">
        <is>
          <t>60493.0</t>
        </is>
      </c>
      <c r="B17" t="n">
        <v>0.295</v>
      </c>
      <c r="C17" t="n">
        <v>0.33</v>
      </c>
    </row>
    <row r="18">
      <c r="A18" t="inlineStr">
        <is>
          <t>51080.0</t>
        </is>
      </c>
      <c r="B18" t="n">
        <v>0.265</v>
      </c>
      <c r="C18" t="n">
        <v>0.3</v>
      </c>
    </row>
    <row r="19">
      <c r="A19" t="inlineStr">
        <is>
          <t>674773.0</t>
        </is>
      </c>
      <c r="B19" t="n">
        <v>0.295</v>
      </c>
      <c r="C19" t="n">
        <v>0.33</v>
      </c>
    </row>
    <row r="20">
      <c r="A20" t="inlineStr">
        <is>
          <t>51084.0</t>
        </is>
      </c>
      <c r="B20" t="n">
        <v>0.265</v>
      </c>
      <c r="C20" t="n">
        <v>0.3</v>
      </c>
    </row>
    <row r="21">
      <c r="A21" t="inlineStr">
        <is>
          <t>63218.0</t>
        </is>
      </c>
      <c r="B21" t="n">
        <v>0.295</v>
      </c>
      <c r="C21" t="n">
        <v>0.33</v>
      </c>
    </row>
    <row r="22">
      <c r="A22" t="inlineStr">
        <is>
          <t>61750.0</t>
        </is>
      </c>
      <c r="B22" t="n">
        <v>0.295</v>
      </c>
      <c r="C22" t="n">
        <v>0.33</v>
      </c>
    </row>
    <row r="23">
      <c r="A23" t="inlineStr">
        <is>
          <t>617705.0</t>
        </is>
      </c>
      <c r="B23" t="n">
        <v>0.295</v>
      </c>
      <c r="C23" t="n">
        <v>0.33</v>
      </c>
    </row>
    <row r="24">
      <c r="A24" t="inlineStr">
        <is>
          <t>617015.0</t>
        </is>
      </c>
      <c r="B24" t="n">
        <v>0.295</v>
      </c>
      <c r="C24" t="n">
        <v>0.33</v>
      </c>
    </row>
    <row r="25">
      <c r="A25" t="inlineStr">
        <is>
          <t>61740.0</t>
        </is>
      </c>
      <c r="B25" t="n">
        <v>0.295</v>
      </c>
      <c r="C25" t="n">
        <v>0.33</v>
      </c>
    </row>
    <row r="26">
      <c r="A26" t="inlineStr">
        <is>
          <t>62390.0</t>
        </is>
      </c>
      <c r="B26" t="n">
        <v>0.245</v>
      </c>
      <c r="C26" t="n">
        <v>0.28</v>
      </c>
    </row>
    <row r="27">
      <c r="A27" t="inlineStr">
        <is>
          <t>61738.0</t>
        </is>
      </c>
      <c r="B27" t="n">
        <v>0.295</v>
      </c>
      <c r="C27" t="n">
        <v>0.33</v>
      </c>
    </row>
    <row r="28">
      <c r="A28" t="inlineStr">
        <is>
          <t>69601.0</t>
        </is>
      </c>
      <c r="B28" t="n">
        <v>0.26</v>
      </c>
      <c r="C28" t="n">
        <v>0.295</v>
      </c>
    </row>
    <row r="29">
      <c r="A29" t="inlineStr">
        <is>
          <t>617199.0</t>
        </is>
      </c>
      <c r="B29" t="n">
        <v>0.295</v>
      </c>
      <c r="C29" t="n">
        <v>0.33</v>
      </c>
    </row>
    <row r="30">
      <c r="A30" t="inlineStr">
        <is>
          <t>58701.0</t>
        </is>
      </c>
      <c r="B30" t="n">
        <v>0.195</v>
      </c>
      <c r="C30" t="n">
        <v>0.23</v>
      </c>
    </row>
    <row r="31">
      <c r="A31" t="inlineStr">
        <is>
          <t>6175655.0</t>
        </is>
      </c>
      <c r="B31" t="n">
        <v>0.295</v>
      </c>
      <c r="C31" t="n">
        <v>0.33</v>
      </c>
    </row>
    <row r="32">
      <c r="A32" t="inlineStr">
        <is>
          <t>102065.0</t>
        </is>
      </c>
      <c r="B32" t="n">
        <v>0.315</v>
      </c>
      <c r="C32" t="n">
        <v>0.35</v>
      </c>
    </row>
    <row r="33">
      <c r="A33" t="inlineStr">
        <is>
          <t>102025.0</t>
        </is>
      </c>
      <c r="B33" t="n">
        <v>0.315</v>
      </c>
      <c r="C33" t="n">
        <v>0.35</v>
      </c>
    </row>
    <row r="34">
      <c r="A34" t="inlineStr">
        <is>
          <t>617675.0</t>
        </is>
      </c>
      <c r="B34" t="n">
        <v>0.295</v>
      </c>
      <c r="C34" t="n">
        <v>0.33</v>
      </c>
    </row>
    <row r="35">
      <c r="A35" t="inlineStr">
        <is>
          <t>99306.0</t>
        </is>
      </c>
      <c r="B35" t="n">
        <v>0.195</v>
      </c>
      <c r="C35" t="n">
        <v>0.23</v>
      </c>
    </row>
    <row r="36">
      <c r="A36" t="inlineStr">
        <is>
          <t>913033.0</t>
        </is>
      </c>
      <c r="B36" t="n">
        <v>0.315</v>
      </c>
      <c r="C36" t="n">
        <v>0.35</v>
      </c>
    </row>
    <row r="37">
      <c r="A37" t="inlineStr">
        <is>
          <t>паяльник913101</t>
        </is>
      </c>
      <c r="B37" t="n">
        <v>0.315</v>
      </c>
      <c r="C37" t="n">
        <v>0.35</v>
      </c>
    </row>
    <row r="38">
      <c r="A38" t="inlineStr">
        <is>
          <t>673516.0</t>
        </is>
      </c>
      <c r="B38" t="n">
        <v>0.295</v>
      </c>
      <c r="C38" t="n">
        <v>0.33</v>
      </c>
    </row>
    <row r="39">
      <c r="A39" t="inlineStr">
        <is>
          <t>64303.0</t>
        </is>
      </c>
      <c r="B39" t="n">
        <v>0.245</v>
      </c>
      <c r="C39" t="n">
        <v>0.245</v>
      </c>
    </row>
    <row r="40">
      <c r="A40" t="inlineStr">
        <is>
          <t>94212АСПТ</t>
        </is>
      </c>
      <c r="B40" t="n">
        <v>0.295</v>
      </c>
      <c r="C40" t="n">
        <v>0.33</v>
      </c>
    </row>
    <row r="41">
      <c r="A41" t="inlineStr">
        <is>
          <t>96631.0</t>
        </is>
      </c>
      <c r="B41" t="n">
        <v>0.195</v>
      </c>
      <c r="C41" t="n">
        <v>0.23</v>
      </c>
    </row>
    <row r="42">
      <c r="A42" t="inlineStr">
        <is>
          <t>6157453-1</t>
        </is>
      </c>
      <c r="B42" t="n">
        <v>0.295</v>
      </c>
      <c r="C42" t="n">
        <v>0.33</v>
      </c>
    </row>
    <row r="43">
      <c r="A43" t="inlineStr">
        <is>
          <t>61755.0</t>
        </is>
      </c>
      <c r="B43" t="n">
        <v>0.295</v>
      </c>
      <c r="C43" t="n">
        <v>0.33</v>
      </c>
    </row>
    <row r="44">
      <c r="A44" t="inlineStr">
        <is>
          <t>паяльник913103</t>
        </is>
      </c>
      <c r="B44" t="n">
        <v>0.315</v>
      </c>
      <c r="C44" t="n">
        <v>0.35</v>
      </c>
    </row>
    <row r="45">
      <c r="A45" t="inlineStr">
        <is>
          <t>90804.0</t>
        </is>
      </c>
      <c r="B45" t="n">
        <v>0.315</v>
      </c>
      <c r="C45" t="n">
        <v>0.35</v>
      </c>
    </row>
    <row r="46">
      <c r="A46" t="inlineStr">
        <is>
          <t>57410.0</t>
        </is>
      </c>
      <c r="B46" t="n">
        <v>0.315</v>
      </c>
      <c r="C46" t="n">
        <v>0.35</v>
      </c>
    </row>
    <row r="47">
      <c r="A47" t="inlineStr">
        <is>
          <t>97984.0</t>
        </is>
      </c>
      <c r="B47" t="n">
        <v>0.315</v>
      </c>
      <c r="C47" t="n">
        <v>0.35</v>
      </c>
    </row>
    <row r="48">
      <c r="A48" t="inlineStr">
        <is>
          <t>675402.0</t>
        </is>
      </c>
      <c r="B48" t="n">
        <v>0.295</v>
      </c>
      <c r="C48" t="n">
        <v>0.33</v>
      </c>
    </row>
    <row r="49">
      <c r="A49" t="inlineStr">
        <is>
          <t>67515.0</t>
        </is>
      </c>
      <c r="B49" t="n">
        <v>0.295</v>
      </c>
      <c r="C49" t="n">
        <v>0.33</v>
      </c>
    </row>
    <row r="50">
      <c r="A50" t="inlineStr">
        <is>
          <t>90807.0</t>
        </is>
      </c>
      <c r="B50" t="n">
        <v>0.315</v>
      </c>
      <c r="C50" t="n">
        <v>0.35</v>
      </c>
    </row>
    <row r="51">
      <c r="A51" t="inlineStr">
        <is>
          <t>DTFC-1200</t>
        </is>
      </c>
      <c r="B51" t="n">
        <v>0.255</v>
      </c>
      <c r="C51" t="n">
        <v>0.29</v>
      </c>
    </row>
    <row r="52">
      <c r="A52" t="inlineStr">
        <is>
          <t>69610.0</t>
        </is>
      </c>
      <c r="B52" t="n">
        <v>0.285</v>
      </c>
      <c r="C52" t="n">
        <v>0.32</v>
      </c>
    </row>
    <row r="53">
      <c r="A53" t="inlineStr">
        <is>
          <t>60441.0</t>
        </is>
      </c>
      <c r="B53" t="n">
        <v>0.295</v>
      </c>
      <c r="C53" t="n">
        <v>0.33</v>
      </c>
    </row>
    <row r="54">
      <c r="A54" t="inlineStr">
        <is>
          <t>58814.0</t>
        </is>
      </c>
      <c r="B54" t="n">
        <v>0.195</v>
      </c>
      <c r="C54" t="n">
        <v>0.23</v>
      </c>
    </row>
    <row r="55">
      <c r="A55" t="inlineStr">
        <is>
          <t>58812.0</t>
        </is>
      </c>
      <c r="B55" t="n">
        <v>0.195</v>
      </c>
      <c r="C55" t="n">
        <v>0.23</v>
      </c>
    </row>
    <row r="56">
      <c r="A56" t="inlineStr">
        <is>
          <t>gopowerAAalkolin40-401</t>
        </is>
      </c>
      <c r="B56" t="n">
        <v>0.275</v>
      </c>
      <c r="C56" t="n">
        <v>0.31</v>
      </c>
    </row>
    <row r="57">
      <c r="A57" t="inlineStr">
        <is>
          <t>61709.0</t>
        </is>
      </c>
      <c r="B57" t="n">
        <v>0.295</v>
      </c>
      <c r="C57" t="n">
        <v>0.33</v>
      </c>
    </row>
    <row r="58">
      <c r="A58" t="inlineStr">
        <is>
          <t>913065.0</t>
        </is>
      </c>
      <c r="B58" t="n">
        <v>0.315</v>
      </c>
      <c r="C58" t="n">
        <v>0.35</v>
      </c>
    </row>
    <row r="59">
      <c r="A59" t="inlineStr">
        <is>
          <t>61361.0</t>
        </is>
      </c>
      <c r="B59" t="n">
        <v>0.275</v>
      </c>
      <c r="C59" t="n">
        <v>0.31</v>
      </c>
    </row>
    <row r="60">
      <c r="A60" t="inlineStr">
        <is>
          <t>61351.0</t>
        </is>
      </c>
      <c r="B60" t="n">
        <v>0.275</v>
      </c>
      <c r="C60" t="n">
        <v>0.31</v>
      </c>
    </row>
    <row r="61">
      <c r="A61" t="inlineStr">
        <is>
          <t>743145.0</t>
        </is>
      </c>
      <c r="B61" t="n">
        <v>0.315</v>
      </c>
      <c r="C61" t="n">
        <v>0.35</v>
      </c>
    </row>
    <row r="62">
      <c r="A62" t="inlineStr">
        <is>
          <t>743147.0</t>
        </is>
      </c>
      <c r="B62" t="n">
        <v>0.315</v>
      </c>
      <c r="C62" t="n">
        <v>0.35</v>
      </c>
    </row>
    <row r="63">
      <c r="A63" t="inlineStr">
        <is>
          <t>61461.0</t>
        </is>
      </c>
      <c r="B63" t="n">
        <v>0.295</v>
      </c>
      <c r="C63" t="n">
        <v>0.33</v>
      </c>
    </row>
    <row r="64">
      <c r="A64" t="inlineStr">
        <is>
          <t>939047.0</t>
        </is>
      </c>
      <c r="B64" t="n">
        <v>0.205</v>
      </c>
      <c r="C64" t="n">
        <v>0.24</v>
      </c>
    </row>
    <row r="65">
      <c r="A65" t="inlineStr">
        <is>
          <t>64741.0</t>
        </is>
      </c>
      <c r="B65" t="n">
        <v>0.245</v>
      </c>
      <c r="C65" t="n">
        <v>0.28</v>
      </c>
    </row>
    <row r="66">
      <c r="A66" t="inlineStr">
        <is>
          <t>97502.0</t>
        </is>
      </c>
      <c r="B66" t="n">
        <v>0.29</v>
      </c>
      <c r="C66" t="n">
        <v>0.325</v>
      </c>
    </row>
    <row r="67">
      <c r="A67" t="inlineStr">
        <is>
          <t>90751.0</t>
        </is>
      </c>
      <c r="B67" t="n">
        <v>0.315</v>
      </c>
      <c r="C67" t="n">
        <v>0.35</v>
      </c>
    </row>
    <row r="68">
      <c r="A68" t="inlineStr">
        <is>
          <t>93888.0</t>
        </is>
      </c>
      <c r="B68" t="n">
        <v>0.295</v>
      </c>
      <c r="C68" t="n">
        <v>0.33</v>
      </c>
    </row>
    <row r="69">
      <c r="A69" t="inlineStr">
        <is>
          <t>61371.0</t>
        </is>
      </c>
      <c r="B69" t="n">
        <v>0.295</v>
      </c>
      <c r="C69" t="n">
        <v>0.33</v>
      </c>
    </row>
    <row r="70">
      <c r="A70" t="inlineStr">
        <is>
          <t>61385.0</t>
        </is>
      </c>
      <c r="B70" t="n">
        <v>0.295</v>
      </c>
      <c r="C70" t="n">
        <v>0.33</v>
      </c>
    </row>
    <row r="71">
      <c r="A71" t="inlineStr">
        <is>
          <t>330295.0</t>
        </is>
      </c>
      <c r="B71" t="n">
        <v>0.315</v>
      </c>
      <c r="C71" t="n">
        <v>0.35</v>
      </c>
    </row>
    <row r="72">
      <c r="A72" t="inlineStr">
        <is>
          <t>67521.0</t>
        </is>
      </c>
      <c r="B72" t="n">
        <v>0.295</v>
      </c>
      <c r="C72" t="n">
        <v>0.33</v>
      </c>
    </row>
    <row r="73">
      <c r="A73" t="inlineStr">
        <is>
          <t>7431370.0</t>
        </is>
      </c>
      <c r="B73" t="n">
        <v>0.315</v>
      </c>
      <c r="C73" t="n">
        <v>0.35</v>
      </c>
    </row>
    <row r="74">
      <c r="A74" t="inlineStr">
        <is>
          <t>69511.0</t>
        </is>
      </c>
      <c r="B74" t="n">
        <v>0.285</v>
      </c>
      <c r="C74" t="n">
        <v>0.32</v>
      </c>
    </row>
    <row r="75">
      <c r="A75" t="inlineStr">
        <is>
          <t>69646.0</t>
        </is>
      </c>
      <c r="B75" t="n">
        <v>0.285</v>
      </c>
      <c r="C75" t="n">
        <v>0.32</v>
      </c>
    </row>
    <row r="76">
      <c r="A76" t="inlineStr">
        <is>
          <t>55203.0</t>
        </is>
      </c>
      <c r="B76" t="n">
        <v>0.265</v>
      </c>
      <c r="C76" t="n">
        <v>0.3</v>
      </c>
    </row>
    <row r="77">
      <c r="A77" t="inlineStr">
        <is>
          <t>939115.0</t>
        </is>
      </c>
      <c r="B77" t="n">
        <v>0.295</v>
      </c>
      <c r="C77" t="n">
        <v>0.295</v>
      </c>
    </row>
    <row r="78">
      <c r="A78" t="inlineStr">
        <is>
          <t>94098.0</t>
        </is>
      </c>
      <c r="B78" t="n">
        <v>0.295</v>
      </c>
      <c r="C78" t="n">
        <v>0.295</v>
      </c>
    </row>
    <row r="79">
      <c r="A79" t="inlineStr">
        <is>
          <t>94089.0</t>
        </is>
      </c>
      <c r="B79" t="n">
        <v>0.295</v>
      </c>
      <c r="C79" t="n">
        <v>0.295</v>
      </c>
    </row>
    <row r="80">
      <c r="A80" t="inlineStr">
        <is>
          <t>62036.0</t>
        </is>
      </c>
      <c r="B80" t="n">
        <v>0.245</v>
      </c>
      <c r="C80" t="n">
        <v>0.28</v>
      </c>
    </row>
    <row r="81">
      <c r="A81" t="inlineStr">
        <is>
          <t>102105молоток</t>
        </is>
      </c>
      <c r="B81" t="n">
        <v>0.315</v>
      </c>
      <c r="C81" t="n">
        <v>0.35</v>
      </c>
    </row>
    <row r="82">
      <c r="A82" t="inlineStr">
        <is>
          <t>61391.0</t>
        </is>
      </c>
      <c r="B82" t="n">
        <v>0.295</v>
      </c>
      <c r="C82" t="n">
        <v>0.33</v>
      </c>
    </row>
    <row r="83">
      <c r="A83" t="inlineStr">
        <is>
          <t>61472.0</t>
        </is>
      </c>
      <c r="B83" t="n">
        <v>0.295</v>
      </c>
      <c r="C83" t="n">
        <v>0.33</v>
      </c>
    </row>
    <row r="84">
      <c r="A84" t="inlineStr">
        <is>
          <t>97984-1</t>
        </is>
      </c>
      <c r="B84" t="n">
        <v>0.315</v>
      </c>
      <c r="C84" t="n">
        <v>0.35</v>
      </c>
    </row>
    <row r="85">
      <c r="A85" t="inlineStr">
        <is>
          <t>gopower60redmizinec</t>
        </is>
      </c>
      <c r="B85" t="n">
        <v>0.275</v>
      </c>
      <c r="C85" t="n">
        <v>0.31</v>
      </c>
    </row>
    <row r="86">
      <c r="A86" t="inlineStr">
        <is>
          <t>Скребок55286</t>
        </is>
      </c>
      <c r="B86" t="n">
        <v>0.265</v>
      </c>
      <c r="C86" t="n">
        <v>0.3</v>
      </c>
    </row>
    <row r="87">
      <c r="A87" t="inlineStr">
        <is>
          <t>kpo15teplopushka</t>
        </is>
      </c>
      <c r="B87" t="n">
        <v>0.285</v>
      </c>
      <c r="C87" t="n">
        <v>0.32</v>
      </c>
    </row>
    <row r="88">
      <c r="A88" t="inlineStr">
        <is>
          <t>конвектор15квт</t>
        </is>
      </c>
      <c r="B88" t="n">
        <v>0.255</v>
      </c>
      <c r="C88" t="n">
        <v>0.29</v>
      </c>
    </row>
    <row r="89">
      <c r="A89" t="inlineStr">
        <is>
          <t>61696.0</t>
        </is>
      </c>
      <c r="B89" t="n">
        <v>0.295</v>
      </c>
      <c r="C89" t="n">
        <v>0.33</v>
      </c>
    </row>
    <row r="90">
      <c r="A90" t="inlineStr">
        <is>
          <t>57429.0</t>
        </is>
      </c>
      <c r="B90" t="n">
        <v>0.315</v>
      </c>
      <c r="C90" t="n">
        <v>0.35</v>
      </c>
    </row>
    <row r="91">
      <c r="A91" t="inlineStr">
        <is>
          <t>69740.0</t>
        </is>
      </c>
      <c r="B91" t="n">
        <v>0.285</v>
      </c>
      <c r="C91" t="n">
        <v>0.32</v>
      </c>
    </row>
    <row r="92">
      <c r="A92" t="inlineStr">
        <is>
          <t>61738 с черенком</t>
        </is>
      </c>
      <c r="B92" t="n">
        <v>0.295</v>
      </c>
      <c r="C92" t="n">
        <v>0.33</v>
      </c>
    </row>
    <row r="93">
      <c r="A93" t="inlineStr">
        <is>
          <t>617885.0</t>
        </is>
      </c>
      <c r="B93" t="n">
        <v>0.295</v>
      </c>
      <c r="C93" t="n">
        <v>0.33</v>
      </c>
    </row>
    <row r="94">
      <c r="A94" t="inlineStr">
        <is>
          <t>61733.0</t>
        </is>
      </c>
      <c r="B94" t="n">
        <v>0.295</v>
      </c>
      <c r="C94" t="n">
        <v>0.33</v>
      </c>
    </row>
    <row r="95">
      <c r="A95" t="inlineStr">
        <is>
          <t>61732.0</t>
        </is>
      </c>
      <c r="B95" t="n">
        <v>0.295</v>
      </c>
      <c r="C95" t="n">
        <v>0.33</v>
      </c>
    </row>
    <row r="96">
      <c r="A96" t="inlineStr">
        <is>
          <t>67461.0</t>
        </is>
      </c>
      <c r="B96" t="n">
        <v>0.295</v>
      </c>
      <c r="C96" t="n">
        <v>0.33</v>
      </c>
    </row>
    <row r="97">
      <c r="A97" t="inlineStr">
        <is>
          <t>KH-3323</t>
        </is>
      </c>
      <c r="B97" t="n">
        <v>0.275</v>
      </c>
      <c r="C97" t="n">
        <v>0.31</v>
      </c>
    </row>
    <row r="98">
      <c r="A98" t="inlineStr">
        <is>
          <t>molokootsos</t>
        </is>
      </c>
      <c r="B98" t="n">
        <v>0.265</v>
      </c>
      <c r="C98" t="n">
        <v>0.3</v>
      </c>
    </row>
    <row r="99">
      <c r="A99" t="inlineStr">
        <is>
          <t>604775.0</t>
        </is>
      </c>
      <c r="B99" t="n">
        <v>0.295</v>
      </c>
      <c r="C99" t="n">
        <v>0.33</v>
      </c>
    </row>
    <row r="100">
      <c r="A100" t="inlineStr">
        <is>
          <t>60477.0</t>
        </is>
      </c>
      <c r="B100" t="n">
        <v>0.295</v>
      </c>
      <c r="C100" t="n">
        <v>0.33</v>
      </c>
    </row>
    <row r="101">
      <c r="A101" t="inlineStr">
        <is>
          <t>60473.0</t>
        </is>
      </c>
      <c r="B101" t="n">
        <v>0.295</v>
      </c>
      <c r="C101" t="n">
        <v>0.33</v>
      </c>
    </row>
    <row r="102">
      <c r="A102" t="inlineStr">
        <is>
          <t>60472.0</t>
        </is>
      </c>
      <c r="B102" t="n">
        <v>0.295</v>
      </c>
      <c r="C102" t="n">
        <v>0.33</v>
      </c>
    </row>
    <row r="103">
      <c r="A103" t="inlineStr">
        <is>
          <t>60471.0</t>
        </is>
      </c>
      <c r="B103" t="n">
        <v>0.295</v>
      </c>
      <c r="C103" t="n">
        <v>0.33</v>
      </c>
    </row>
    <row r="104">
      <c r="A104" t="inlineStr">
        <is>
          <t>60467.0</t>
        </is>
      </c>
      <c r="B104" t="n">
        <v>0.295</v>
      </c>
      <c r="C104" t="n">
        <v>0.33</v>
      </c>
    </row>
    <row r="105">
      <c r="A105" t="inlineStr">
        <is>
          <t>60462.0</t>
        </is>
      </c>
      <c r="B105" t="n">
        <v>0.295</v>
      </c>
      <c r="C105" t="n">
        <v>0.33</v>
      </c>
    </row>
    <row r="106">
      <c r="A106" t="inlineStr">
        <is>
          <t>60461.0</t>
        </is>
      </c>
      <c r="B106" t="n">
        <v>0.295</v>
      </c>
      <c r="C106" t="n">
        <v>0.33</v>
      </c>
    </row>
    <row r="107">
      <c r="A107" t="inlineStr">
        <is>
          <t>60460.0</t>
        </is>
      </c>
      <c r="B107" t="n">
        <v>0.295</v>
      </c>
      <c r="C107" t="n">
        <v>0.33</v>
      </c>
    </row>
    <row r="108">
      <c r="A108" t="inlineStr">
        <is>
          <t>60459.0</t>
        </is>
      </c>
      <c r="B108" t="n">
        <v>0.295</v>
      </c>
      <c r="C108" t="n">
        <v>0.33</v>
      </c>
    </row>
    <row r="109">
      <c r="A109" t="inlineStr">
        <is>
          <t>60458.0</t>
        </is>
      </c>
      <c r="B109" t="n">
        <v>0.295</v>
      </c>
      <c r="C109" t="n">
        <v>0.33</v>
      </c>
    </row>
    <row r="110">
      <c r="A110" t="inlineStr">
        <is>
          <t>60457.0</t>
        </is>
      </c>
      <c r="B110" t="n">
        <v>0.295</v>
      </c>
      <c r="C110" t="n">
        <v>0.33</v>
      </c>
    </row>
    <row r="111">
      <c r="A111" t="inlineStr">
        <is>
          <t>60456.0</t>
        </is>
      </c>
      <c r="B111" t="n">
        <v>0.295</v>
      </c>
      <c r="C111" t="n">
        <v>0.33</v>
      </c>
    </row>
    <row r="112">
      <c r="A112" t="inlineStr">
        <is>
          <t>60455.0</t>
        </is>
      </c>
      <c r="B112" t="n">
        <v>0.295</v>
      </c>
      <c r="C112" t="n">
        <v>0.33</v>
      </c>
    </row>
    <row r="113">
      <c r="A113" t="inlineStr">
        <is>
          <t>60454.0</t>
        </is>
      </c>
      <c r="B113" t="n">
        <v>0.295</v>
      </c>
      <c r="C113" t="n">
        <v>0.33</v>
      </c>
    </row>
    <row r="114">
      <c r="A114" t="inlineStr">
        <is>
          <t>60442.0</t>
        </is>
      </c>
      <c r="B114" t="n">
        <v>0.295</v>
      </c>
      <c r="C114" t="n">
        <v>0.33</v>
      </c>
    </row>
    <row r="115">
      <c r="A115" t="inlineStr">
        <is>
          <t>59437.0</t>
        </is>
      </c>
      <c r="B115" t="n">
        <v>0.295</v>
      </c>
      <c r="C115" t="n">
        <v>0.33</v>
      </c>
    </row>
    <row r="116">
      <c r="A116" t="inlineStr">
        <is>
          <t>67635.0</t>
        </is>
      </c>
      <c r="B116" t="n">
        <v>0.295</v>
      </c>
      <c r="C116" t="n">
        <v>0.33</v>
      </c>
    </row>
    <row r="117">
      <c r="A117" t="inlineStr">
        <is>
          <t>КН-4675</t>
        </is>
      </c>
      <c r="B117" t="n">
        <v>0.295</v>
      </c>
      <c r="C117" t="n">
        <v>0.33</v>
      </c>
    </row>
    <row r="118">
      <c r="A118" t="inlineStr">
        <is>
          <t>KH-5317</t>
        </is>
      </c>
      <c r="B118" t="n">
        <v>0.285</v>
      </c>
      <c r="C118" t="n">
        <v>0.32</v>
      </c>
    </row>
    <row r="119">
      <c r="A119" t="inlineStr">
        <is>
          <t>69586.0</t>
        </is>
      </c>
      <c r="B119" t="n">
        <v>0.275</v>
      </c>
      <c r="C119" t="n">
        <v>0.31</v>
      </c>
    </row>
    <row r="120">
      <c r="A120" t="inlineStr">
        <is>
          <t>69585.0</t>
        </is>
      </c>
      <c r="B120" t="n">
        <v>0.275</v>
      </c>
      <c r="C120" t="n">
        <v>0.31</v>
      </c>
    </row>
    <row r="121">
      <c r="A121" t="inlineStr">
        <is>
          <t>50834.0</t>
        </is>
      </c>
      <c r="B121" t="n">
        <v>0.265</v>
      </c>
      <c r="C121" t="n">
        <v>0.3</v>
      </c>
    </row>
    <row r="122">
      <c r="A122" t="inlineStr">
        <is>
          <t>96633.0</t>
        </is>
      </c>
      <c r="B122" t="n">
        <v>0.195</v>
      </c>
      <c r="C122" t="n">
        <v>0.23</v>
      </c>
    </row>
    <row r="123">
      <c r="A123" t="inlineStr">
        <is>
          <t>96632.0</t>
        </is>
      </c>
      <c r="B123" t="n">
        <v>0.195</v>
      </c>
      <c r="C123" t="n">
        <v>0.23</v>
      </c>
    </row>
    <row r="124">
      <c r="A124" t="inlineStr">
        <is>
          <t>96620.0</t>
        </is>
      </c>
      <c r="B124" t="n">
        <v>0.195</v>
      </c>
      <c r="C124" t="n">
        <v>0.23</v>
      </c>
    </row>
    <row r="125">
      <c r="A125" t="inlineStr">
        <is>
          <t>962325.0</t>
        </is>
      </c>
      <c r="B125" t="n">
        <v>0.195</v>
      </c>
      <c r="C125" t="n">
        <v>0.23</v>
      </c>
    </row>
    <row r="126">
      <c r="A126" t="inlineStr">
        <is>
          <t>61386.0</t>
        </is>
      </c>
      <c r="B126" t="n">
        <v>0.295</v>
      </c>
      <c r="C126" t="n">
        <v>0.33</v>
      </c>
    </row>
    <row r="127">
      <c r="A127" t="inlineStr">
        <is>
          <t>96629.0</t>
        </is>
      </c>
      <c r="B127" t="n">
        <v>0.195</v>
      </c>
      <c r="C127" t="n">
        <v>0.23</v>
      </c>
    </row>
    <row r="128">
      <c r="A128" t="inlineStr">
        <is>
          <t>96613.0</t>
        </is>
      </c>
      <c r="B128" t="n">
        <v>0.195</v>
      </c>
      <c r="C128" t="n">
        <v>0.23</v>
      </c>
    </row>
    <row r="129">
      <c r="A129" t="inlineStr">
        <is>
          <t>58901.0</t>
        </is>
      </c>
      <c r="B129" t="n">
        <v>0.195</v>
      </c>
      <c r="C129" t="n">
        <v>0.23</v>
      </c>
    </row>
    <row r="130">
      <c r="A130" t="inlineStr">
        <is>
          <t>gazonokos</t>
        </is>
      </c>
      <c r="B130" t="n">
        <v>0.195</v>
      </c>
      <c r="C130" t="n">
        <v>0.23</v>
      </c>
    </row>
    <row r="131">
      <c r="A131" t="inlineStr">
        <is>
          <t>69000-1</t>
        </is>
      </c>
      <c r="B131" t="n">
        <v>0.295</v>
      </c>
      <c r="C131" t="n">
        <v>0.33</v>
      </c>
    </row>
    <row r="132">
      <c r="A132" t="inlineStr">
        <is>
          <t>689965-1</t>
        </is>
      </c>
      <c r="B132" t="n">
        <v>0.295</v>
      </c>
      <c r="C132" t="n">
        <v>0.33</v>
      </c>
    </row>
    <row r="133">
      <c r="A133" t="inlineStr">
        <is>
          <t>68999-1</t>
        </is>
      </c>
      <c r="B133" t="n">
        <v>0.295</v>
      </c>
      <c r="C133" t="n">
        <v>0.33</v>
      </c>
    </row>
    <row r="134">
      <c r="A134" t="inlineStr">
        <is>
          <t>gopowerAAsolev1200-402</t>
        </is>
      </c>
      <c r="B134" t="n">
        <v>0.275</v>
      </c>
      <c r="C134" t="n">
        <v>0.31</v>
      </c>
    </row>
    <row r="135">
      <c r="A135" t="inlineStr">
        <is>
          <t>gopowerAAalkolin48-399</t>
        </is>
      </c>
      <c r="B135" t="n">
        <v>0.275</v>
      </c>
      <c r="C135" t="n">
        <v>0.31</v>
      </c>
    </row>
    <row r="136">
      <c r="A136" t="inlineStr">
        <is>
          <t>gopower20</t>
        </is>
      </c>
      <c r="B136" t="n">
        <v>0.275</v>
      </c>
      <c r="C136" t="n">
        <v>0.31</v>
      </c>
    </row>
    <row r="137">
      <c r="A137" t="inlineStr">
        <is>
          <t>gopower</t>
        </is>
      </c>
      <c r="B137" t="n">
        <v>0.275</v>
      </c>
      <c r="C137" t="n">
        <v>0.31</v>
      </c>
    </row>
    <row r="138">
      <c r="A138" t="inlineStr">
        <is>
          <t>58224.0</t>
        </is>
      </c>
      <c r="B138" t="n">
        <v>0.195</v>
      </c>
      <c r="C138" t="n">
        <v>0.23</v>
      </c>
    </row>
    <row r="139">
      <c r="A139" t="inlineStr">
        <is>
          <t>6157453.0</t>
        </is>
      </c>
      <c r="B139" t="n">
        <v>0.265</v>
      </c>
      <c r="C139" t="n">
        <v>0.3</v>
      </c>
    </row>
    <row r="140">
      <c r="A140" t="inlineStr">
        <is>
          <t>50831.0</t>
        </is>
      </c>
      <c r="B140" t="n">
        <v>0.265</v>
      </c>
      <c r="C140" t="n">
        <v>0.3</v>
      </c>
    </row>
    <row r="141">
      <c r="A141" t="inlineStr">
        <is>
          <t>50833.0</t>
        </is>
      </c>
      <c r="B141" t="n">
        <v>0.265</v>
      </c>
      <c r="C141" t="n">
        <v>0.3</v>
      </c>
    </row>
    <row r="142">
      <c r="A142" t="inlineStr">
        <is>
          <t>51040.0</t>
        </is>
      </c>
      <c r="B142" t="n">
        <v>0.265</v>
      </c>
      <c r="C142" t="n">
        <v>0.3</v>
      </c>
    </row>
    <row r="143">
      <c r="A143" t="inlineStr">
        <is>
          <t>50832.0</t>
        </is>
      </c>
      <c r="B143" t="n">
        <v>0.265</v>
      </c>
      <c r="C143" t="n">
        <v>0.3</v>
      </c>
    </row>
    <row r="144">
      <c r="A144" t="inlineStr">
        <is>
          <t>51028.0</t>
        </is>
      </c>
      <c r="B144" t="n">
        <v>0.265</v>
      </c>
      <c r="C144" t="n">
        <v>0.3</v>
      </c>
    </row>
    <row r="145">
      <c r="A145" t="inlineStr">
        <is>
          <t>51020.0</t>
        </is>
      </c>
      <c r="B145" t="n">
        <v>0.265</v>
      </c>
      <c r="C145" t="n">
        <v>0.3</v>
      </c>
    </row>
    <row r="146">
      <c r="A146" t="inlineStr">
        <is>
          <t>50838.0</t>
        </is>
      </c>
      <c r="B146" t="n">
        <v>0.265</v>
      </c>
      <c r="C146" t="n">
        <v>0.3</v>
      </c>
    </row>
    <row r="147">
      <c r="A147" t="inlineStr">
        <is>
          <t>50830.0</t>
        </is>
      </c>
      <c r="B147" t="n">
        <v>0.265</v>
      </c>
      <c r="C147" t="n">
        <v>0.3</v>
      </c>
    </row>
    <row r="148">
      <c r="A148" t="inlineStr">
        <is>
          <t>степлер40902</t>
        </is>
      </c>
      <c r="B148" t="n">
        <v>0.315</v>
      </c>
      <c r="C148" t="n">
        <v>0.35</v>
      </c>
    </row>
    <row r="149">
      <c r="A149" t="inlineStr">
        <is>
          <t>40913.0</t>
        </is>
      </c>
      <c r="B149" t="n">
        <v>0.315</v>
      </c>
      <c r="C149" t="n">
        <v>0.35</v>
      </c>
    </row>
    <row r="150">
      <c r="A150" t="inlineStr">
        <is>
          <t>61805.0</t>
        </is>
      </c>
      <c r="B150" t="n">
        <v>0.295</v>
      </c>
      <c r="C150" t="n">
        <v>0.33</v>
      </c>
    </row>
    <row r="151">
      <c r="A151" t="inlineStr">
        <is>
          <t>59428.0</t>
        </is>
      </c>
      <c r="B151" t="n">
        <v>0.29</v>
      </c>
      <c r="C151" t="n">
        <v>0.325</v>
      </c>
    </row>
    <row r="152">
      <c r="A152" t="inlineStr">
        <is>
          <t>62912.0</t>
        </is>
      </c>
      <c r="B152" t="n">
        <v>0.295</v>
      </c>
      <c r="C152" t="n">
        <v>0.33</v>
      </c>
    </row>
    <row r="153">
      <c r="A153" t="inlineStr">
        <is>
          <t>62907.0</t>
        </is>
      </c>
      <c r="B153" t="n">
        <v>0.295</v>
      </c>
      <c r="C153" t="n">
        <v>0.33</v>
      </c>
    </row>
    <row r="154">
      <c r="A154" t="inlineStr">
        <is>
          <t>63021.0</t>
        </is>
      </c>
      <c r="B154" t="n">
        <v>0.295</v>
      </c>
      <c r="C154" t="n">
        <v>0.33</v>
      </c>
    </row>
    <row r="155">
      <c r="A155" t="inlineStr">
        <is>
          <t>78400.0</t>
        </is>
      </c>
      <c r="B155" t="n">
        <v>0.315</v>
      </c>
      <c r="C155" t="n">
        <v>0.35</v>
      </c>
    </row>
    <row r="156">
      <c r="A156" t="inlineStr">
        <is>
          <t>784105.0</t>
        </is>
      </c>
      <c r="B156" t="n">
        <v>0.315</v>
      </c>
      <c r="C156" t="n">
        <v>0.35</v>
      </c>
    </row>
    <row r="157">
      <c r="A157" t="inlineStr">
        <is>
          <t>62069.0</t>
        </is>
      </c>
      <c r="B157" t="n">
        <v>0.295</v>
      </c>
      <c r="C157" t="n">
        <v>0.33</v>
      </c>
    </row>
    <row r="158">
      <c r="A158" t="inlineStr">
        <is>
          <t>78406.0</t>
        </is>
      </c>
      <c r="B158" t="n">
        <v>0.315</v>
      </c>
      <c r="C158" t="n">
        <v>0.35</v>
      </c>
    </row>
    <row r="159">
      <c r="A159" t="inlineStr">
        <is>
          <t>63020.0</t>
        </is>
      </c>
      <c r="B159" t="n">
        <v>0.295</v>
      </c>
      <c r="C159" t="n">
        <v>0.33</v>
      </c>
    </row>
    <row r="160">
      <c r="A160" t="inlineStr">
        <is>
          <t>62904.0</t>
        </is>
      </c>
      <c r="B160" t="n">
        <v>0.295</v>
      </c>
      <c r="C160" t="n">
        <v>0.33</v>
      </c>
    </row>
    <row r="161">
      <c r="A161" t="inlineStr">
        <is>
          <t>783125.0</t>
        </is>
      </c>
      <c r="B161" t="n">
        <v>0.315</v>
      </c>
      <c r="C161" t="n">
        <v>0.35</v>
      </c>
    </row>
    <row r="162">
      <c r="A162" t="inlineStr">
        <is>
          <t>783135.0</t>
        </is>
      </c>
      <c r="B162" t="n">
        <v>0.315</v>
      </c>
      <c r="C162" t="n">
        <v>0.35</v>
      </c>
    </row>
    <row r="163">
      <c r="A163" t="inlineStr">
        <is>
          <t>96817.0</t>
        </is>
      </c>
      <c r="B163" t="n">
        <v>0.29</v>
      </c>
      <c r="C163" t="n">
        <v>0.325</v>
      </c>
    </row>
    <row r="164">
      <c r="A164" t="inlineStr">
        <is>
          <t>59432.0</t>
        </is>
      </c>
      <c r="B164" t="n">
        <v>0.29</v>
      </c>
      <c r="C164" t="n">
        <v>0.325</v>
      </c>
    </row>
    <row r="165">
      <c r="A165" t="inlineStr">
        <is>
          <t>59409.0</t>
        </is>
      </c>
      <c r="B165" t="n">
        <v>0.29</v>
      </c>
      <c r="C165" t="n">
        <v>0.325</v>
      </c>
    </row>
    <row r="166">
      <c r="A166" t="inlineStr">
        <is>
          <t>90704.0</t>
        </is>
      </c>
      <c r="B166" t="n">
        <v>0.315</v>
      </c>
      <c r="C166" t="n">
        <v>0.35</v>
      </c>
    </row>
    <row r="167">
      <c r="A167" t="inlineStr">
        <is>
          <t>90705.0</t>
        </is>
      </c>
      <c r="B167" t="n">
        <v>0.315</v>
      </c>
      <c r="C167" t="n">
        <v>0.35</v>
      </c>
    </row>
    <row r="168">
      <c r="A168" t="inlineStr">
        <is>
          <t>90806.0</t>
        </is>
      </c>
      <c r="B168" t="n">
        <v>0.315</v>
      </c>
      <c r="C168" t="n">
        <v>0.35</v>
      </c>
    </row>
    <row r="169">
      <c r="A169" t="inlineStr">
        <is>
          <t>64738.0</t>
        </is>
      </c>
      <c r="B169" t="n">
        <v>0.245</v>
      </c>
      <c r="C169" t="n">
        <v>0.28</v>
      </c>
    </row>
    <row r="170">
      <c r="A170" t="inlineStr">
        <is>
          <t>94214.0</t>
        </is>
      </c>
      <c r="B170" t="n">
        <v>0.295</v>
      </c>
      <c r="C170" t="n">
        <v>0.33</v>
      </c>
    </row>
    <row r="171">
      <c r="A171" t="inlineStr">
        <is>
          <t>94207АСПТ</t>
        </is>
      </c>
      <c r="B171" t="n">
        <v>0.295</v>
      </c>
      <c r="C171" t="n">
        <v>0.33</v>
      </c>
    </row>
    <row r="172">
      <c r="A172" t="inlineStr">
        <is>
          <t>913006.0</t>
        </is>
      </c>
      <c r="B172" t="n">
        <v>0.315</v>
      </c>
      <c r="C172" t="n">
        <v>0.35</v>
      </c>
    </row>
    <row r="173">
      <c r="A173" t="inlineStr">
        <is>
          <t>паяльник913102</t>
        </is>
      </c>
      <c r="B173" t="n">
        <v>0.315</v>
      </c>
      <c r="C173" t="n">
        <v>0.35</v>
      </c>
    </row>
    <row r="174">
      <c r="A174" t="inlineStr">
        <is>
          <t>94544.0</t>
        </is>
      </c>
      <c r="B174" t="n">
        <v>0.285</v>
      </c>
      <c r="C174" t="n">
        <v>0.32</v>
      </c>
    </row>
    <row r="175">
      <c r="A175" t="inlineStr">
        <is>
          <t>94541.0</t>
        </is>
      </c>
      <c r="B175" t="n">
        <v>0.285</v>
      </c>
      <c r="C175" t="n">
        <v>0.32</v>
      </c>
    </row>
    <row r="176">
      <c r="A176" t="inlineStr">
        <is>
          <t>946834.0</t>
        </is>
      </c>
      <c r="B176" t="n">
        <v>0.285</v>
      </c>
      <c r="C176" t="n">
        <v>0.32</v>
      </c>
    </row>
    <row r="177">
      <c r="A177" t="inlineStr">
        <is>
          <t>94639.0</t>
        </is>
      </c>
      <c r="B177" t="n">
        <v>0.285</v>
      </c>
      <c r="C177" t="n">
        <v>0.32</v>
      </c>
    </row>
    <row r="178">
      <c r="A178" t="inlineStr">
        <is>
          <t>kronwerk2.8</t>
        </is>
      </c>
      <c r="B178" t="n">
        <v>0.285</v>
      </c>
      <c r="C178" t="n">
        <v>0.32</v>
      </c>
    </row>
    <row r="179">
      <c r="A179" t="inlineStr">
        <is>
          <t>kronwerck2800</t>
        </is>
      </c>
      <c r="B179" t="n">
        <v>0.285</v>
      </c>
      <c r="C179" t="n">
        <v>0.32</v>
      </c>
    </row>
    <row r="180">
      <c r="A180" t="inlineStr">
        <is>
          <t>69591.0</t>
        </is>
      </c>
      <c r="B180" t="n">
        <v>0.275</v>
      </c>
      <c r="C180" t="n">
        <v>0.31</v>
      </c>
    </row>
    <row r="181">
      <c r="A181" t="inlineStr">
        <is>
          <t>17718.0</t>
        </is>
      </c>
      <c r="B181" t="n">
        <v>0.315</v>
      </c>
      <c r="C181" t="n">
        <v>0.35</v>
      </c>
    </row>
    <row r="182">
      <c r="A182" t="inlineStr">
        <is>
          <t>61374.0</t>
        </is>
      </c>
      <c r="B182" t="n">
        <v>0.295</v>
      </c>
      <c r="C182" t="n">
        <v>0.33</v>
      </c>
    </row>
    <row r="183">
      <c r="A183" t="inlineStr">
        <is>
          <t>13541.0</t>
        </is>
      </c>
      <c r="B183" t="n">
        <v>0.315</v>
      </c>
      <c r="C183" t="n">
        <v>0.35</v>
      </c>
    </row>
    <row r="184">
      <c r="A184" t="inlineStr">
        <is>
          <t>13534.0</t>
        </is>
      </c>
      <c r="B184" t="n">
        <v>0.315</v>
      </c>
      <c r="C184" t="n">
        <v>0.35</v>
      </c>
    </row>
    <row r="185">
      <c r="A185" t="inlineStr">
        <is>
          <t>10318молоток</t>
        </is>
      </c>
      <c r="B185" t="n">
        <v>0.315</v>
      </c>
      <c r="C185" t="n">
        <v>0.35</v>
      </c>
    </row>
    <row r="186">
      <c r="A186" t="inlineStr">
        <is>
          <t>102135молоток</t>
        </is>
      </c>
      <c r="B186" t="n">
        <v>0.315</v>
      </c>
      <c r="C186" t="n">
        <v>0.35</v>
      </c>
    </row>
    <row r="187">
      <c r="A187" t="inlineStr">
        <is>
          <t>10325молоток</t>
        </is>
      </c>
      <c r="B187" t="n">
        <v>0.315</v>
      </c>
      <c r="C187" t="n">
        <v>0.35</v>
      </c>
    </row>
    <row r="188">
      <c r="A188" t="inlineStr">
        <is>
          <t>99303.0</t>
        </is>
      </c>
      <c r="B188" t="n">
        <v>0.195</v>
      </c>
      <c r="C188" t="n">
        <v>0.23</v>
      </c>
    </row>
    <row r="189">
      <c r="A189" t="inlineStr">
        <is>
          <t>689614.0</t>
        </is>
      </c>
      <c r="B189" t="n">
        <v>0.295</v>
      </c>
      <c r="C189" t="n">
        <v>0.33</v>
      </c>
    </row>
    <row r="190">
      <c r="A190" t="inlineStr">
        <is>
          <t>689225.0</t>
        </is>
      </c>
      <c r="B190" t="n">
        <v>0.295</v>
      </c>
      <c r="C190" t="n">
        <v>0.33</v>
      </c>
    </row>
    <row r="191">
      <c r="A191" t="inlineStr">
        <is>
          <t>689155.0</t>
        </is>
      </c>
      <c r="B191" t="n">
        <v>0.295</v>
      </c>
      <c r="C191" t="n">
        <v>0.33</v>
      </c>
    </row>
    <row r="192">
      <c r="A192" t="inlineStr">
        <is>
          <t>689125.0</t>
        </is>
      </c>
      <c r="B192" t="n">
        <v>0.295</v>
      </c>
      <c r="C192" t="n">
        <v>0.33</v>
      </c>
    </row>
    <row r="193">
      <c r="A193" t="inlineStr">
        <is>
          <t>689845.0</t>
        </is>
      </c>
      <c r="B193" t="n">
        <v>0.295</v>
      </c>
      <c r="C193" t="n">
        <v>0.33</v>
      </c>
    </row>
    <row r="194">
      <c r="A194" t="inlineStr">
        <is>
          <t>68999.0</t>
        </is>
      </c>
      <c r="B194" t="n">
        <v>0.295</v>
      </c>
      <c r="C194" t="n">
        <v>0.33</v>
      </c>
    </row>
    <row r="195">
      <c r="A195" t="inlineStr">
        <is>
          <t>61428.0</t>
        </is>
      </c>
      <c r="B195" t="n">
        <v>0.275</v>
      </c>
      <c r="C195" t="n">
        <v>0.31</v>
      </c>
    </row>
    <row r="196">
      <c r="A196" t="inlineStr">
        <is>
          <t>61536+черенок-1</t>
        </is>
      </c>
      <c r="B196" t="n">
        <v>0.295</v>
      </c>
      <c r="C196" t="n">
        <v>0.33</v>
      </c>
    </row>
    <row r="197">
      <c r="A197" t="inlineStr">
        <is>
          <t>лут</t>
        </is>
      </c>
      <c r="B197" t="n">
        <v>0.245</v>
      </c>
      <c r="C197" t="n">
        <v>0.28</v>
      </c>
    </row>
    <row r="198">
      <c r="A198" t="inlineStr">
        <is>
          <t>906055.0</t>
        </is>
      </c>
      <c r="B198" t="n">
        <v>0.315</v>
      </c>
      <c r="C198" t="n">
        <v>0.35</v>
      </c>
    </row>
    <row r="199">
      <c r="A199" t="inlineStr">
        <is>
          <t>743157.0</t>
        </is>
      </c>
      <c r="B199" t="n">
        <v>0.315</v>
      </c>
      <c r="C199" t="n">
        <v>0.35</v>
      </c>
    </row>
    <row r="200">
      <c r="A200" t="inlineStr">
        <is>
          <t>53126.0</t>
        </is>
      </c>
      <c r="B200" t="n">
        <v>0.215</v>
      </c>
      <c r="C200" t="n">
        <v>0.25</v>
      </c>
    </row>
    <row r="201">
      <c r="A201" t="inlineStr">
        <is>
          <t>17734.0</t>
        </is>
      </c>
      <c r="B201" t="n">
        <v>0.315</v>
      </c>
      <c r="C201" t="n">
        <v>0.35</v>
      </c>
    </row>
    <row r="202">
      <c r="A202" t="inlineStr">
        <is>
          <t>90256.0</t>
        </is>
      </c>
      <c r="B202" t="n">
        <v>0.315</v>
      </c>
      <c r="C202" t="n">
        <v>0.35</v>
      </c>
    </row>
    <row r="203">
      <c r="A203" t="inlineStr">
        <is>
          <t>90259Сумка</t>
        </is>
      </c>
      <c r="B203" t="n">
        <v>0.315</v>
      </c>
      <c r="C203" t="n">
        <v>0.35</v>
      </c>
    </row>
    <row r="204">
      <c r="A204" t="inlineStr">
        <is>
          <t>90241сумка</t>
        </is>
      </c>
      <c r="B204" t="n">
        <v>0.315</v>
      </c>
      <c r="C204" t="n">
        <v>0.35</v>
      </c>
    </row>
    <row r="205">
      <c r="A205" t="inlineStr">
        <is>
          <t>90240сумка</t>
        </is>
      </c>
      <c r="B205" t="n">
        <v>0.315</v>
      </c>
      <c r="C205" t="n">
        <v>0.35</v>
      </c>
    </row>
    <row r="206">
      <c r="A206" t="inlineStr">
        <is>
          <t>17610.0</t>
        </is>
      </c>
      <c r="B206" t="n">
        <v>0.315</v>
      </c>
      <c r="C206" t="n">
        <v>0.35</v>
      </c>
    </row>
    <row r="207">
      <c r="A207" t="inlineStr">
        <is>
          <t>78535.0</t>
        </is>
      </c>
      <c r="B207" t="n">
        <v>0.315</v>
      </c>
      <c r="C207" t="n">
        <v>0.35</v>
      </c>
    </row>
    <row r="208">
      <c r="A208" t="inlineStr">
        <is>
          <t>78502.0</t>
        </is>
      </c>
      <c r="B208" t="n">
        <v>0.315</v>
      </c>
      <c r="C208" t="n">
        <v>0.35</v>
      </c>
    </row>
    <row r="209">
      <c r="A209" t="inlineStr">
        <is>
          <t>57492.0</t>
        </is>
      </c>
      <c r="B209" t="n">
        <v>0.3</v>
      </c>
      <c r="C209" t="n">
        <v>0.335</v>
      </c>
    </row>
    <row r="210">
      <c r="A210" t="inlineStr">
        <is>
          <t>26905.0</t>
        </is>
      </c>
      <c r="B210" t="n">
        <v>0.3</v>
      </c>
      <c r="C210" t="n">
        <v>0.335</v>
      </c>
    </row>
    <row r="211">
      <c r="A211" t="inlineStr">
        <is>
          <t>93930.0</t>
        </is>
      </c>
      <c r="B211" t="n">
        <v>0.205</v>
      </c>
      <c r="C211" t="n">
        <v>0.24</v>
      </c>
    </row>
    <row r="212">
      <c r="A212" t="inlineStr">
        <is>
          <t>93934.0</t>
        </is>
      </c>
      <c r="B212" t="n">
        <v>0.205</v>
      </c>
      <c r="C212" t="n">
        <v>0.24</v>
      </c>
    </row>
    <row r="213">
      <c r="A213" t="inlineStr">
        <is>
          <t>93989.0</t>
        </is>
      </c>
      <c r="B213" t="n">
        <v>0.205</v>
      </c>
      <c r="C213" t="n">
        <v>0.24</v>
      </c>
    </row>
    <row r="214">
      <c r="A214" t="inlineStr">
        <is>
          <t>64736.0</t>
        </is>
      </c>
      <c r="B214" t="n">
        <v>0.245</v>
      </c>
      <c r="C214" t="n">
        <v>0.28</v>
      </c>
    </row>
    <row r="215">
      <c r="A215" t="inlineStr">
        <is>
          <t>64743.0</t>
        </is>
      </c>
      <c r="B215" t="n">
        <v>0.245</v>
      </c>
      <c r="C215" t="n">
        <v>0.28</v>
      </c>
    </row>
    <row r="216">
      <c r="A216" t="inlineStr">
        <is>
          <t>64740.0</t>
        </is>
      </c>
      <c r="B216" t="n">
        <v>0.245</v>
      </c>
      <c r="C216" t="n">
        <v>0.28</v>
      </c>
    </row>
    <row r="217">
      <c r="A217" t="inlineStr">
        <is>
          <t>97726.0</t>
        </is>
      </c>
      <c r="B217" t="n">
        <v>0.315</v>
      </c>
      <c r="C217" t="n">
        <v>0.35</v>
      </c>
    </row>
    <row r="218">
      <c r="A218" t="inlineStr">
        <is>
          <t>57338.0</t>
        </is>
      </c>
      <c r="B218" t="n">
        <v>0.315</v>
      </c>
      <c r="C218" t="n">
        <v>0.35</v>
      </c>
    </row>
    <row r="219">
      <c r="A219" t="inlineStr">
        <is>
          <t>57330.0</t>
        </is>
      </c>
      <c r="B219" t="n">
        <v>0.315</v>
      </c>
      <c r="C219" t="n">
        <v>0.35</v>
      </c>
    </row>
    <row r="220">
      <c r="A220" t="inlineStr">
        <is>
          <t>57426.0</t>
        </is>
      </c>
      <c r="B220" t="n">
        <v>0.315</v>
      </c>
      <c r="C220" t="n">
        <v>0.35</v>
      </c>
    </row>
    <row r="221">
      <c r="A221" t="inlineStr">
        <is>
          <t>57428.0</t>
        </is>
      </c>
      <c r="B221" t="n">
        <v>0.315</v>
      </c>
      <c r="C221" t="n">
        <v>0.35</v>
      </c>
    </row>
    <row r="222">
      <c r="A222" t="inlineStr">
        <is>
          <t>57334.0</t>
        </is>
      </c>
      <c r="B222" t="n">
        <v>0.315</v>
      </c>
      <c r="C222" t="n">
        <v>0.35</v>
      </c>
    </row>
    <row r="223">
      <c r="A223" t="inlineStr">
        <is>
          <t>97836.0</t>
        </is>
      </c>
      <c r="B223" t="n">
        <v>0.315</v>
      </c>
      <c r="C223" t="n">
        <v>0.35</v>
      </c>
    </row>
    <row r="224">
      <c r="A224" t="inlineStr">
        <is>
          <t>стремянка 97943</t>
        </is>
      </c>
      <c r="B224" t="n">
        <v>0.315</v>
      </c>
      <c r="C224" t="n">
        <v>0.35</v>
      </c>
    </row>
    <row r="225">
      <c r="A225" t="inlineStr">
        <is>
          <t>стремянка 97844</t>
        </is>
      </c>
      <c r="B225" t="n">
        <v>0.315</v>
      </c>
      <c r="C225" t="n">
        <v>0.35</v>
      </c>
    </row>
    <row r="226">
      <c r="A226" t="inlineStr">
        <is>
          <t>97703.0</t>
        </is>
      </c>
      <c r="B226" t="n">
        <v>0.315</v>
      </c>
      <c r="C226" t="n">
        <v>0.35</v>
      </c>
    </row>
    <row r="227">
      <c r="A227" t="inlineStr">
        <is>
          <t>886365.0</t>
        </is>
      </c>
      <c r="B227" t="n">
        <v>0.315</v>
      </c>
      <c r="C227" t="n">
        <v>0.35</v>
      </c>
    </row>
    <row r="228">
      <c r="A228" t="inlineStr">
        <is>
          <t>886125.0</t>
        </is>
      </c>
      <c r="B228" t="n">
        <v>0.315</v>
      </c>
      <c r="C228" t="n">
        <v>0.35</v>
      </c>
    </row>
    <row r="229">
      <c r="A229" t="inlineStr">
        <is>
          <t>69648.0</t>
        </is>
      </c>
      <c r="B229" t="n">
        <v>0.285</v>
      </c>
      <c r="C229" t="n">
        <v>0.32</v>
      </c>
    </row>
    <row r="230">
      <c r="A230" t="inlineStr">
        <is>
          <t>97501.0</t>
        </is>
      </c>
      <c r="B230" t="n">
        <v>0.29</v>
      </c>
      <c r="C230" t="n">
        <v>0.325</v>
      </c>
    </row>
    <row r="231">
      <c r="A231" t="inlineStr">
        <is>
          <t>97500.0</t>
        </is>
      </c>
      <c r="B231" t="n">
        <v>0.29</v>
      </c>
      <c r="C231" t="n">
        <v>0.325</v>
      </c>
    </row>
    <row r="232">
      <c r="A232" t="inlineStr">
        <is>
          <t>97503.0</t>
        </is>
      </c>
      <c r="B232" t="n">
        <v>0.29</v>
      </c>
      <c r="C232" t="n">
        <v>0.325</v>
      </c>
    </row>
    <row r="233">
      <c r="A233" t="inlineStr">
        <is>
          <t>97504.0</t>
        </is>
      </c>
      <c r="B233" t="n">
        <v>0.29</v>
      </c>
      <c r="C233" t="n">
        <v>0.325</v>
      </c>
    </row>
    <row r="234">
      <c r="A234" t="inlineStr">
        <is>
          <t>97506.0</t>
        </is>
      </c>
      <c r="B234" t="n">
        <v>0.29</v>
      </c>
      <c r="C234" t="n">
        <v>0.325</v>
      </c>
    </row>
    <row r="235">
      <c r="A235" t="inlineStr">
        <is>
          <t>97510.0</t>
        </is>
      </c>
      <c r="B235" t="n">
        <v>0.29</v>
      </c>
      <c r="C235" t="n">
        <v>0.325</v>
      </c>
    </row>
    <row r="236">
      <c r="A236" t="inlineStr">
        <is>
          <t>97511.0</t>
        </is>
      </c>
      <c r="B236" t="n">
        <v>0.29</v>
      </c>
      <c r="C236" t="n">
        <v>0.325</v>
      </c>
    </row>
    <row r="237">
      <c r="A237" t="inlineStr">
        <is>
          <t>97512.0</t>
        </is>
      </c>
      <c r="B237" t="n">
        <v>0.29</v>
      </c>
      <c r="C237" t="n">
        <v>0.325</v>
      </c>
    </row>
    <row r="238">
      <c r="A238" t="inlineStr">
        <is>
          <t>97513.0</t>
        </is>
      </c>
      <c r="B238" t="n">
        <v>0.29</v>
      </c>
      <c r="C238" t="n">
        <v>0.325</v>
      </c>
    </row>
    <row r="239">
      <c r="A239" t="inlineStr">
        <is>
          <t>97514.0</t>
        </is>
      </c>
      <c r="B239" t="n">
        <v>0.29</v>
      </c>
      <c r="C239" t="n">
        <v>0.325</v>
      </c>
    </row>
    <row r="240">
      <c r="A240" t="inlineStr">
        <is>
          <t>97515.0</t>
        </is>
      </c>
      <c r="B240" t="n">
        <v>0.29</v>
      </c>
      <c r="C240" t="n">
        <v>0.325</v>
      </c>
    </row>
    <row r="241">
      <c r="A241" t="inlineStr">
        <is>
          <t>97516.0</t>
        </is>
      </c>
      <c r="B241" t="n">
        <v>0.29</v>
      </c>
      <c r="C241" t="n">
        <v>0.325</v>
      </c>
    </row>
    <row r="242">
      <c r="A242" t="inlineStr">
        <is>
          <t>93888-1</t>
        </is>
      </c>
      <c r="B242" t="n">
        <v>0.295</v>
      </c>
      <c r="C242" t="n">
        <v>0.33</v>
      </c>
    </row>
    <row r="243">
      <c r="A243" t="inlineStr">
        <is>
          <t>94124-1</t>
        </is>
      </c>
      <c r="B243" t="n">
        <v>0.295</v>
      </c>
      <c r="C243" t="n">
        <v>0.33</v>
      </c>
    </row>
    <row r="244">
      <c r="A244" t="inlineStr">
        <is>
          <t>93889-1</t>
        </is>
      </c>
      <c r="B244" t="n">
        <v>0.295</v>
      </c>
      <c r="C244" t="n">
        <v>0.33</v>
      </c>
    </row>
    <row r="245">
      <c r="A245" t="inlineStr">
        <is>
          <t>938295-1</t>
        </is>
      </c>
      <c r="B245" t="n">
        <v>0.295</v>
      </c>
      <c r="C245" t="n">
        <v>0.33</v>
      </c>
    </row>
    <row r="246">
      <c r="A246" t="inlineStr">
        <is>
          <t>94124.0</t>
        </is>
      </c>
      <c r="B246" t="n">
        <v>0.295</v>
      </c>
      <c r="C246" t="n">
        <v>0.33</v>
      </c>
    </row>
    <row r="247">
      <c r="A247" t="inlineStr">
        <is>
          <t>93889.0</t>
        </is>
      </c>
      <c r="B247" t="n">
        <v>0.295</v>
      </c>
      <c r="C247" t="n">
        <v>0.33</v>
      </c>
    </row>
    <row r="248">
      <c r="A248" t="inlineStr">
        <is>
          <t>938295.0</t>
        </is>
      </c>
      <c r="B248" t="n">
        <v>0.295</v>
      </c>
      <c r="C248" t="n">
        <v>0.33</v>
      </c>
    </row>
    <row r="249">
      <c r="A249" t="inlineStr">
        <is>
          <t>18116.0</t>
        </is>
      </c>
      <c r="B249" t="n">
        <v>0.315</v>
      </c>
      <c r="C249" t="n">
        <v>0.35</v>
      </c>
    </row>
    <row r="250">
      <c r="A250" t="inlineStr">
        <is>
          <t>59608.0</t>
        </is>
      </c>
      <c r="B250" t="n">
        <v>0.195</v>
      </c>
      <c r="C250" t="n">
        <v>0.23</v>
      </c>
    </row>
    <row r="251">
      <c r="A251" t="inlineStr">
        <is>
          <t>90738.0</t>
        </is>
      </c>
      <c r="B251" t="n">
        <v>0.265</v>
      </c>
      <c r="C251" t="n">
        <v>0.3</v>
      </c>
    </row>
    <row r="252">
      <c r="A252" t="inlineStr">
        <is>
          <t>777715.0</t>
        </is>
      </c>
      <c r="B252" t="n">
        <v>0.315</v>
      </c>
      <c r="C252" t="n">
        <v>0.35</v>
      </c>
    </row>
    <row r="253">
      <c r="A253" t="inlineStr">
        <is>
          <t>61370.0</t>
        </is>
      </c>
      <c r="B253" t="n">
        <v>0.295</v>
      </c>
      <c r="C253" t="n">
        <v>0.33</v>
      </c>
    </row>
    <row r="254">
      <c r="A254" t="inlineStr">
        <is>
          <t>70472.0</t>
        </is>
      </c>
      <c r="B254" t="n">
        <v>0.315</v>
      </c>
      <c r="C254" t="n">
        <v>0.35</v>
      </c>
    </row>
    <row r="255">
      <c r="A255" t="inlineStr">
        <is>
          <t>99801.0</t>
        </is>
      </c>
      <c r="B255" t="n">
        <v>0.195</v>
      </c>
      <c r="C255" t="n">
        <v>0.23</v>
      </c>
    </row>
    <row r="256">
      <c r="A256" t="inlineStr">
        <is>
          <t>99802.0</t>
        </is>
      </c>
      <c r="B256" t="n">
        <v>0.195</v>
      </c>
      <c r="C256" t="n">
        <v>0.23</v>
      </c>
    </row>
    <row r="257">
      <c r="A257" t="inlineStr">
        <is>
          <t>58233.0</t>
        </is>
      </c>
      <c r="B257" t="n">
        <v>0.195</v>
      </c>
      <c r="C257" t="n">
        <v>0.23</v>
      </c>
    </row>
    <row r="258">
      <c r="A258" t="inlineStr">
        <is>
          <t>331265.0</t>
        </is>
      </c>
      <c r="B258" t="n">
        <v>0.315</v>
      </c>
      <c r="C258" t="n">
        <v>0.35</v>
      </c>
    </row>
    <row r="259">
      <c r="A259" t="inlineStr">
        <is>
          <t>18620.0</t>
        </is>
      </c>
      <c r="B259" t="n">
        <v>0.315</v>
      </c>
      <c r="C259" t="n">
        <v>0.35</v>
      </c>
    </row>
    <row r="260">
      <c r="A260" t="inlineStr">
        <is>
          <t>18621.0</t>
        </is>
      </c>
      <c r="B260" t="n">
        <v>0.315</v>
      </c>
      <c r="C260" t="n">
        <v>0.35</v>
      </c>
    </row>
    <row r="261">
      <c r="A261" t="inlineStr">
        <is>
          <t>330205.0</t>
        </is>
      </c>
      <c r="B261" t="n">
        <v>0.315</v>
      </c>
      <c r="C261" t="n">
        <v>0.35</v>
      </c>
    </row>
    <row r="262">
      <c r="A262" t="inlineStr">
        <is>
          <t>330235.0</t>
        </is>
      </c>
      <c r="B262" t="n">
        <v>0.315</v>
      </c>
      <c r="C262" t="n">
        <v>0.35</v>
      </c>
    </row>
    <row r="263">
      <c r="A263" t="inlineStr">
        <is>
          <t>330265.0</t>
        </is>
      </c>
      <c r="B263" t="n">
        <v>0.315</v>
      </c>
      <c r="C263" t="n">
        <v>0.35</v>
      </c>
    </row>
    <row r="264">
      <c r="A264" t="inlineStr">
        <is>
          <t>331205.0</t>
        </is>
      </c>
      <c r="B264" t="n">
        <v>0.315</v>
      </c>
      <c r="C264" t="n">
        <v>0.35</v>
      </c>
    </row>
    <row r="265">
      <c r="A265" t="inlineStr">
        <is>
          <t>331235.0</t>
        </is>
      </c>
      <c r="B265" t="n">
        <v>0.315</v>
      </c>
      <c r="C265" t="n">
        <v>0.35</v>
      </c>
    </row>
    <row r="266">
      <c r="A266" t="inlineStr">
        <is>
          <t>331295.0</t>
        </is>
      </c>
      <c r="B266" t="n">
        <v>0.315</v>
      </c>
      <c r="C266" t="n">
        <v>0.35</v>
      </c>
    </row>
    <row r="267">
      <c r="A267" t="inlineStr">
        <is>
          <t>346055.0</t>
        </is>
      </c>
      <c r="B267" t="n">
        <v>0.315</v>
      </c>
      <c r="C267" t="n">
        <v>0.35</v>
      </c>
    </row>
    <row r="268">
      <c r="A268" t="inlineStr">
        <is>
          <t>185115.0</t>
        </is>
      </c>
      <c r="B268" t="n">
        <v>0.315</v>
      </c>
      <c r="C268" t="n">
        <v>0.35</v>
      </c>
    </row>
    <row r="269">
      <c r="A269" t="inlineStr">
        <is>
          <t>18508.0</t>
        </is>
      </c>
      <c r="B269" t="n">
        <v>0.315</v>
      </c>
      <c r="C269" t="n">
        <v>0.35</v>
      </c>
    </row>
    <row r="270">
      <c r="A270" t="inlineStr">
        <is>
          <t>18600.0</t>
        </is>
      </c>
      <c r="B270" t="n">
        <v>0.315</v>
      </c>
      <c r="C270" t="n">
        <v>0.35</v>
      </c>
    </row>
    <row r="271">
      <c r="A271" t="inlineStr">
        <is>
          <t>18601.0</t>
        </is>
      </c>
      <c r="B271" t="n">
        <v>0.315</v>
      </c>
      <c r="C271" t="n">
        <v>0.35</v>
      </c>
    </row>
    <row r="272">
      <c r="A272" t="inlineStr">
        <is>
          <t>18618.0</t>
        </is>
      </c>
      <c r="B272" t="n">
        <v>0.315</v>
      </c>
      <c r="C272" t="n">
        <v>0.35</v>
      </c>
    </row>
    <row r="273">
      <c r="A273" t="inlineStr">
        <is>
          <t>331355.0</t>
        </is>
      </c>
      <c r="B273" t="n">
        <v>0.315</v>
      </c>
      <c r="C273" t="n">
        <v>0.35</v>
      </c>
    </row>
    <row r="274">
      <c r="A274" t="inlineStr">
        <is>
          <t>67500.0</t>
        </is>
      </c>
      <c r="B274" t="n">
        <v>0.295</v>
      </c>
      <c r="C274" t="n">
        <v>0.33</v>
      </c>
    </row>
    <row r="275">
      <c r="A275" t="inlineStr">
        <is>
          <t>689965.0</t>
        </is>
      </c>
      <c r="B275" t="n">
        <v>0.295</v>
      </c>
      <c r="C275" t="n">
        <v>0.33</v>
      </c>
    </row>
    <row r="276">
      <c r="A276" t="inlineStr">
        <is>
          <t>26981.0</t>
        </is>
      </c>
      <c r="B276" t="n">
        <v>0.3</v>
      </c>
      <c r="C276" t="n">
        <v>0.335</v>
      </c>
    </row>
    <row r="277">
      <c r="A277" t="inlineStr">
        <is>
          <t>62031.0</t>
        </is>
      </c>
      <c r="B277" t="n">
        <v>0.285</v>
      </c>
      <c r="C277" t="n">
        <v>0.32</v>
      </c>
    </row>
    <row r="278">
      <c r="A278" t="inlineStr">
        <is>
          <t>67520.0</t>
        </is>
      </c>
      <c r="B278" t="n">
        <v>0.295</v>
      </c>
      <c r="C278" t="n">
        <v>0.33</v>
      </c>
    </row>
    <row r="279">
      <c r="A279" t="inlineStr">
        <is>
          <t>743133.0</t>
        </is>
      </c>
      <c r="B279" t="n">
        <v>0.315</v>
      </c>
      <c r="C279" t="n">
        <v>0.35</v>
      </c>
    </row>
    <row r="280">
      <c r="A280" t="inlineStr">
        <is>
          <t>78539.0</t>
        </is>
      </c>
      <c r="B280" t="n">
        <v>0.315</v>
      </c>
      <c r="C280" t="n">
        <v>0.35</v>
      </c>
    </row>
    <row r="281">
      <c r="A281" t="inlineStr">
        <is>
          <t>78540.0</t>
        </is>
      </c>
      <c r="B281" t="n">
        <v>0.315</v>
      </c>
      <c r="C281" t="n">
        <v>0.35</v>
      </c>
    </row>
    <row r="282">
      <c r="A282" t="inlineStr">
        <is>
          <t>77337.0</t>
        </is>
      </c>
      <c r="B282" t="n">
        <v>0.315</v>
      </c>
      <c r="C282" t="n">
        <v>0.35</v>
      </c>
    </row>
    <row r="283">
      <c r="A283" t="inlineStr">
        <is>
          <t>77339.0</t>
        </is>
      </c>
      <c r="B283" t="n">
        <v>0.315</v>
      </c>
      <c r="C283" t="n">
        <v>0.35</v>
      </c>
    </row>
    <row r="284">
      <c r="A284" t="inlineStr">
        <is>
          <t>77345.0</t>
        </is>
      </c>
      <c r="B284" t="n">
        <v>0.315</v>
      </c>
      <c r="C284" t="n">
        <v>0.35</v>
      </c>
    </row>
    <row r="285">
      <c r="A285" t="inlineStr">
        <is>
          <t>78525.0</t>
        </is>
      </c>
      <c r="B285" t="n">
        <v>0.315</v>
      </c>
      <c r="C285" t="n">
        <v>0.35</v>
      </c>
    </row>
    <row r="286">
      <c r="A286" t="inlineStr">
        <is>
          <t>743137.0</t>
        </is>
      </c>
      <c r="B286" t="n">
        <v>0.315</v>
      </c>
      <c r="C286" t="n">
        <v>0.35</v>
      </c>
    </row>
    <row r="287">
      <c r="A287" t="inlineStr">
        <is>
          <t>степлет42002</t>
        </is>
      </c>
      <c r="B287" t="n">
        <v>0.315</v>
      </c>
      <c r="C287" t="n">
        <v>0.35</v>
      </c>
    </row>
    <row r="288">
      <c r="A288" t="inlineStr">
        <is>
          <t>степлет41000</t>
        </is>
      </c>
      <c r="B288" t="n">
        <v>0.315</v>
      </c>
      <c r="C288" t="n">
        <v>0.35</v>
      </c>
    </row>
    <row r="289">
      <c r="A289" t="inlineStr">
        <is>
          <t>400030.0</t>
        </is>
      </c>
      <c r="B289" t="n">
        <v>0.315</v>
      </c>
      <c r="C289" t="n">
        <v>0.35</v>
      </c>
    </row>
    <row r="290">
      <c r="A290" t="inlineStr">
        <is>
          <t>40917.0</t>
        </is>
      </c>
      <c r="B290" t="n">
        <v>0.315</v>
      </c>
      <c r="C290" t="n">
        <v>0.35</v>
      </c>
    </row>
    <row r="291">
      <c r="A291" t="inlineStr">
        <is>
          <t>40916.0</t>
        </is>
      </c>
      <c r="B291" t="n">
        <v>0.315</v>
      </c>
      <c r="C291" t="n">
        <v>0.35</v>
      </c>
    </row>
    <row r="292">
      <c r="A292" t="inlineStr">
        <is>
          <t>40223.0</t>
        </is>
      </c>
      <c r="B292" t="n">
        <v>0.315</v>
      </c>
      <c r="C292" t="n">
        <v>0.35</v>
      </c>
    </row>
    <row r="293">
      <c r="A293" t="inlineStr">
        <is>
          <t>40222.0</t>
        </is>
      </c>
      <c r="B293" t="n">
        <v>0.315</v>
      </c>
      <c r="C293" t="n">
        <v>0.35</v>
      </c>
    </row>
    <row r="294">
      <c r="A294" t="inlineStr">
        <is>
          <t>40215.0</t>
        </is>
      </c>
      <c r="B294" t="n">
        <v>0.315</v>
      </c>
      <c r="C294" t="n">
        <v>0.35</v>
      </c>
    </row>
    <row r="295">
      <c r="A295" t="inlineStr">
        <is>
          <t>40211.0</t>
        </is>
      </c>
      <c r="B295" t="n">
        <v>0.315</v>
      </c>
      <c r="C295" t="n">
        <v>0.35</v>
      </c>
    </row>
    <row r="296">
      <c r="A296" t="inlineStr">
        <is>
          <t>40101.0</t>
        </is>
      </c>
      <c r="B296" t="n">
        <v>0.315</v>
      </c>
      <c r="C296" t="n">
        <v>0.35</v>
      </c>
    </row>
    <row r="297">
      <c r="A297" t="inlineStr">
        <is>
          <t>13423.0</t>
        </is>
      </c>
      <c r="B297" t="n">
        <v>0.315</v>
      </c>
      <c r="C297" t="n">
        <v>0.35</v>
      </c>
    </row>
    <row r="298">
      <c r="A298" t="inlineStr">
        <is>
          <t>13394.0</t>
        </is>
      </c>
      <c r="B298" t="n">
        <v>0.315</v>
      </c>
      <c r="C298" t="n">
        <v>0.35</v>
      </c>
    </row>
    <row r="299">
      <c r="A299" t="inlineStr">
        <is>
          <t>13396.0</t>
        </is>
      </c>
      <c r="B299" t="n">
        <v>0.315</v>
      </c>
      <c r="C299" t="n">
        <v>0.35</v>
      </c>
    </row>
    <row r="300">
      <c r="A300" t="inlineStr">
        <is>
          <t>13391.0</t>
        </is>
      </c>
      <c r="B300" t="n">
        <v>0.315</v>
      </c>
      <c r="C300" t="n">
        <v>0.35</v>
      </c>
    </row>
    <row r="301">
      <c r="A301" t="inlineStr">
        <is>
          <t>13389.0</t>
        </is>
      </c>
      <c r="B301" t="n">
        <v>0.315</v>
      </c>
      <c r="C301" t="n">
        <v>0.35</v>
      </c>
    </row>
    <row r="302">
      <c r="A302" t="inlineStr">
        <is>
          <t>906035.0</t>
        </is>
      </c>
      <c r="B302" t="n">
        <v>0.315</v>
      </c>
      <c r="C302" t="n">
        <v>0.35</v>
      </c>
    </row>
    <row r="303">
      <c r="A303" t="inlineStr">
        <is>
          <t>67481.0</t>
        </is>
      </c>
      <c r="B303" t="n">
        <v>0.295</v>
      </c>
      <c r="C303" t="n">
        <v>0.33</v>
      </c>
    </row>
    <row r="304">
      <c r="A304" t="inlineStr">
        <is>
          <t>67111.0</t>
        </is>
      </c>
      <c r="B304" t="n">
        <v>0.295</v>
      </c>
      <c r="C304" t="n">
        <v>0.33</v>
      </c>
    </row>
    <row r="305">
      <c r="A305" t="inlineStr">
        <is>
          <t>67464.0</t>
        </is>
      </c>
      <c r="B305" t="n">
        <v>0.295</v>
      </c>
      <c r="C305" t="n">
        <v>0.33</v>
      </c>
    </row>
    <row r="306">
      <c r="A306" t="inlineStr">
        <is>
          <t>67465.0</t>
        </is>
      </c>
      <c r="B306" t="n">
        <v>0.295</v>
      </c>
      <c r="C306" t="n">
        <v>0.33</v>
      </c>
    </row>
    <row r="307">
      <c r="A307" t="inlineStr">
        <is>
          <t>673596.0</t>
        </is>
      </c>
      <c r="B307" t="n">
        <v>0.295</v>
      </c>
      <c r="C307" t="n">
        <v>0.33</v>
      </c>
    </row>
    <row r="308">
      <c r="A308" t="inlineStr">
        <is>
          <t>67364.0</t>
        </is>
      </c>
      <c r="B308" t="n">
        <v>0.295</v>
      </c>
      <c r="C308" t="n">
        <v>0.33</v>
      </c>
    </row>
    <row r="309">
      <c r="A309" t="inlineStr">
        <is>
          <t>673546.0</t>
        </is>
      </c>
      <c r="B309" t="n">
        <v>0.295</v>
      </c>
      <c r="C309" t="n">
        <v>0.33</v>
      </c>
    </row>
    <row r="310">
      <c r="A310" t="inlineStr">
        <is>
          <t>67655.0</t>
        </is>
      </c>
      <c r="B310" t="n">
        <v>0.295</v>
      </c>
      <c r="C310" t="n">
        <v>0.33</v>
      </c>
    </row>
    <row r="311">
      <c r="A311" t="inlineStr">
        <is>
          <t>876355.0</t>
        </is>
      </c>
      <c r="B311" t="n">
        <v>0.315</v>
      </c>
      <c r="C311" t="n">
        <v>0.35</v>
      </c>
    </row>
    <row r="312">
      <c r="A312" t="inlineStr">
        <is>
          <t>87583.0</t>
        </is>
      </c>
      <c r="B312" t="n">
        <v>0.315</v>
      </c>
      <c r="C312" t="n">
        <v>0.35</v>
      </c>
    </row>
    <row r="313">
      <c r="A313" t="inlineStr">
        <is>
          <t>87691.0</t>
        </is>
      </c>
      <c r="B313" t="n">
        <v>0.315</v>
      </c>
      <c r="C313" t="n">
        <v>0.35</v>
      </c>
    </row>
    <row r="314">
      <c r="A314" t="inlineStr">
        <is>
          <t>87689.0</t>
        </is>
      </c>
      <c r="B314" t="n">
        <v>0.315</v>
      </c>
      <c r="C314" t="n">
        <v>0.35</v>
      </c>
    </row>
    <row r="315">
      <c r="A315" t="inlineStr">
        <is>
          <t>87658.0</t>
        </is>
      </c>
      <c r="B315" t="n">
        <v>0.315</v>
      </c>
      <c r="C315" t="n">
        <v>0.35</v>
      </c>
    </row>
    <row r="316">
      <c r="A316" t="inlineStr">
        <is>
          <t>69510.0</t>
        </is>
      </c>
      <c r="B316" t="n">
        <v>0.285</v>
      </c>
      <c r="C316" t="n">
        <v>0.32</v>
      </c>
    </row>
    <row r="317">
      <c r="A317" t="inlineStr">
        <is>
          <t>69509.0</t>
        </is>
      </c>
      <c r="B317" t="n">
        <v>0.285</v>
      </c>
      <c r="C317" t="n">
        <v>0.32</v>
      </c>
    </row>
    <row r="318">
      <c r="A318" t="inlineStr">
        <is>
          <t>69508.0</t>
        </is>
      </c>
      <c r="B318" t="n">
        <v>0.285</v>
      </c>
      <c r="C318" t="n">
        <v>0.32</v>
      </c>
    </row>
    <row r="319">
      <c r="A319" t="inlineStr">
        <is>
          <t>69002.0</t>
        </is>
      </c>
      <c r="B319" t="n">
        <v>0.295</v>
      </c>
      <c r="C319" t="n">
        <v>0.295</v>
      </c>
    </row>
    <row r="320">
      <c r="A320" t="inlineStr">
        <is>
          <t>69513.0</t>
        </is>
      </c>
      <c r="B320" t="n">
        <v>0.285</v>
      </c>
      <c r="C320" t="n">
        <v>0.32</v>
      </c>
    </row>
    <row r="321">
      <c r="A321" t="inlineStr">
        <is>
          <t>69512.0</t>
        </is>
      </c>
      <c r="B321" t="n">
        <v>0.285</v>
      </c>
      <c r="C321" t="n">
        <v>0.32</v>
      </c>
    </row>
    <row r="322">
      <c r="A322" t="inlineStr">
        <is>
          <t>69595.0</t>
        </is>
      </c>
      <c r="B322" t="n">
        <v>0.285</v>
      </c>
      <c r="C322" t="n">
        <v>0.32</v>
      </c>
    </row>
    <row r="323">
      <c r="A323" t="inlineStr">
        <is>
          <t>69592.0</t>
        </is>
      </c>
      <c r="B323" t="n">
        <v>0.275</v>
      </c>
      <c r="C323" t="n">
        <v>0.31</v>
      </c>
    </row>
    <row r="324">
      <c r="A324" t="inlineStr">
        <is>
          <t>69589.0</t>
        </is>
      </c>
      <c r="B324" t="n">
        <v>0.275</v>
      </c>
      <c r="C324" t="n">
        <v>0.31</v>
      </c>
    </row>
    <row r="325">
      <c r="A325" t="inlineStr">
        <is>
          <t>69597.0</t>
        </is>
      </c>
      <c r="B325" t="n">
        <v>0.285</v>
      </c>
      <c r="C325" t="n">
        <v>0.32</v>
      </c>
    </row>
    <row r="326">
      <c r="A326" t="inlineStr">
        <is>
          <t>87619.0</t>
        </is>
      </c>
      <c r="B326" t="n">
        <v>0.315</v>
      </c>
      <c r="C326" t="n">
        <v>0.35</v>
      </c>
    </row>
    <row r="327">
      <c r="A327" t="inlineStr">
        <is>
          <t>28005.0</t>
        </is>
      </c>
      <c r="B327" t="n">
        <v>0.295</v>
      </c>
      <c r="C327" t="n">
        <v>0.33</v>
      </c>
    </row>
    <row r="328">
      <c r="A328" t="inlineStr">
        <is>
          <t>69543.0</t>
        </is>
      </c>
      <c r="B328" t="n">
        <v>0.285</v>
      </c>
      <c r="C328" t="n">
        <v>0.32</v>
      </c>
    </row>
    <row r="329">
      <c r="A329" t="inlineStr">
        <is>
          <t>Щепа69633</t>
        </is>
      </c>
      <c r="B329" t="n">
        <v>0.285</v>
      </c>
      <c r="C329" t="n">
        <v>0.32</v>
      </c>
    </row>
    <row r="330">
      <c r="A330" t="inlineStr">
        <is>
          <t>Щепа69510</t>
        </is>
      </c>
      <c r="B330" t="n">
        <v>0.285</v>
      </c>
      <c r="C330" t="n">
        <v>0.32</v>
      </c>
    </row>
    <row r="331">
      <c r="A331" t="inlineStr">
        <is>
          <t>69608.0</t>
        </is>
      </c>
      <c r="B331" t="n">
        <v>0.275</v>
      </c>
      <c r="C331" t="n">
        <v>0.31</v>
      </c>
    </row>
    <row r="332">
      <c r="A332" t="inlineStr">
        <is>
          <t>69607.0</t>
        </is>
      </c>
      <c r="B332" t="n">
        <v>0.275</v>
      </c>
      <c r="C332" t="n">
        <v>0.31</v>
      </c>
    </row>
    <row r="333">
      <c r="A333" t="inlineStr">
        <is>
          <t>69602.0</t>
        </is>
      </c>
      <c r="B333" t="n">
        <v>0.285</v>
      </c>
      <c r="C333" t="n">
        <v>0.32</v>
      </c>
    </row>
    <row r="334">
      <c r="A334" t="inlineStr">
        <is>
          <t>69606.0</t>
        </is>
      </c>
      <c r="B334" t="n">
        <v>0.265</v>
      </c>
      <c r="C334" t="n">
        <v>0.3</v>
      </c>
    </row>
    <row r="335">
      <c r="A335" t="inlineStr">
        <is>
          <t>69669.0</t>
        </is>
      </c>
      <c r="B335" t="n">
        <v>0.285</v>
      </c>
      <c r="C335" t="n">
        <v>0.32</v>
      </c>
    </row>
    <row r="336">
      <c r="A336" t="inlineStr">
        <is>
          <t>69734.0</t>
        </is>
      </c>
      <c r="B336" t="n">
        <v>0.285</v>
      </c>
      <c r="C336" t="n">
        <v>0.32</v>
      </c>
    </row>
    <row r="337">
      <c r="A337" t="inlineStr">
        <is>
          <t>53137.0</t>
        </is>
      </c>
      <c r="B337" t="n">
        <v>0.215</v>
      </c>
      <c r="C337" t="n">
        <v>0.25</v>
      </c>
    </row>
    <row r="338">
      <c r="A338" t="inlineStr">
        <is>
          <t>53136.0</t>
        </is>
      </c>
      <c r="B338" t="n">
        <v>0.215</v>
      </c>
      <c r="C338" t="n">
        <v>0.25</v>
      </c>
    </row>
    <row r="339">
      <c r="A339" t="inlineStr">
        <is>
          <t>53135.0</t>
        </is>
      </c>
      <c r="B339" t="n">
        <v>0.215</v>
      </c>
      <c r="C339" t="n">
        <v>0.25</v>
      </c>
    </row>
    <row r="340">
      <c r="A340" t="inlineStr">
        <is>
          <t>69000.0</t>
        </is>
      </c>
      <c r="B340" t="n">
        <v>0.295</v>
      </c>
      <c r="C340" t="n">
        <v>0.33</v>
      </c>
    </row>
    <row r="341">
      <c r="A341" t="inlineStr">
        <is>
          <t>53145.0</t>
        </is>
      </c>
      <c r="B341" t="n">
        <v>0.215</v>
      </c>
      <c r="C341" t="n">
        <v>0.25</v>
      </c>
    </row>
    <row r="342">
      <c r="A342" t="inlineStr">
        <is>
          <t>53144.0</t>
        </is>
      </c>
      <c r="B342" t="n">
        <v>0.215</v>
      </c>
      <c r="C342" t="n">
        <v>0.25</v>
      </c>
    </row>
    <row r="343">
      <c r="A343" t="inlineStr">
        <is>
          <t>53143.0</t>
        </is>
      </c>
      <c r="B343" t="n">
        <v>0.215</v>
      </c>
      <c r="C343" t="n">
        <v>0.25</v>
      </c>
    </row>
    <row r="344">
      <c r="A344" t="inlineStr">
        <is>
          <t>53124.0</t>
        </is>
      </c>
      <c r="B344" t="n">
        <v>0.215</v>
      </c>
      <c r="C344" t="n">
        <v>0.25</v>
      </c>
    </row>
    <row r="345">
      <c r="A345" t="inlineStr">
        <is>
          <t>94006.0</t>
        </is>
      </c>
      <c r="B345" t="n">
        <v>0.295</v>
      </c>
      <c r="C345" t="n">
        <v>0.295</v>
      </c>
    </row>
    <row r="346">
      <c r="A346" t="inlineStr">
        <is>
          <t>94086.0</t>
        </is>
      </c>
      <c r="B346" t="n">
        <v>0.295</v>
      </c>
      <c r="C346" t="n">
        <v>0.295</v>
      </c>
    </row>
    <row r="347">
      <c r="A347" t="inlineStr">
        <is>
          <t>94090.0</t>
        </is>
      </c>
      <c r="B347" t="n">
        <v>0.295</v>
      </c>
      <c r="C347" t="n">
        <v>0.295</v>
      </c>
    </row>
    <row r="348">
      <c r="A348" t="inlineStr">
        <is>
          <t>93914.0</t>
        </is>
      </c>
      <c r="B348" t="n">
        <v>0.295</v>
      </c>
      <c r="C348" t="n">
        <v>0.295</v>
      </c>
    </row>
    <row r="349">
      <c r="A349" t="inlineStr">
        <is>
          <t>939155.0</t>
        </is>
      </c>
      <c r="B349" t="n">
        <v>0.295</v>
      </c>
      <c r="C349" t="n">
        <v>0.295</v>
      </c>
    </row>
    <row r="350">
      <c r="A350" t="inlineStr">
        <is>
          <t>939265.0</t>
        </is>
      </c>
      <c r="B350" t="n">
        <v>0.295</v>
      </c>
      <c r="C350" t="n">
        <v>0.295</v>
      </c>
    </row>
    <row r="351">
      <c r="A351" t="inlineStr">
        <is>
          <t>94087.0</t>
        </is>
      </c>
      <c r="B351" t="n">
        <v>0.295</v>
      </c>
      <c r="C351" t="n">
        <v>0.295</v>
      </c>
    </row>
    <row r="352">
      <c r="A352" t="inlineStr">
        <is>
          <t>939275.0</t>
        </is>
      </c>
      <c r="B352" t="n">
        <v>0.295</v>
      </c>
      <c r="C352" t="n">
        <v>0.295</v>
      </c>
    </row>
    <row r="353">
      <c r="A353" t="inlineStr">
        <is>
          <t>93919.0</t>
        </is>
      </c>
      <c r="B353" t="n">
        <v>0.295</v>
      </c>
      <c r="C353" t="n">
        <v>0.295</v>
      </c>
    </row>
    <row r="354">
      <c r="A354" t="inlineStr">
        <is>
          <t>93915.0</t>
        </is>
      </c>
      <c r="B354" t="n">
        <v>0.295</v>
      </c>
      <c r="C354" t="n">
        <v>0.295</v>
      </c>
    </row>
    <row r="355">
      <c r="A355" t="inlineStr">
        <is>
          <t>94084.0</t>
        </is>
      </c>
      <c r="B355" t="n">
        <v>0.295</v>
      </c>
      <c r="C355" t="n">
        <v>0.295</v>
      </c>
    </row>
    <row r="356">
      <c r="A356" t="inlineStr">
        <is>
          <t>97505.0</t>
        </is>
      </c>
      <c r="B356" t="n">
        <v>0.29</v>
      </c>
      <c r="C356" t="n">
        <v>0.325</v>
      </c>
    </row>
    <row r="357">
      <c r="A357" t="inlineStr">
        <is>
          <t>61678.0</t>
        </is>
      </c>
      <c r="B357" t="n">
        <v>0.295</v>
      </c>
      <c r="C357" t="n">
        <v>0.33</v>
      </c>
    </row>
    <row r="358">
      <c r="A358" t="inlineStr">
        <is>
          <t>62391.0</t>
        </is>
      </c>
      <c r="B358" t="n">
        <v>0.245</v>
      </c>
      <c r="C358" t="n">
        <v>0.28</v>
      </c>
    </row>
    <row r="359">
      <c r="A359" t="inlineStr">
        <is>
          <t>62647.0</t>
        </is>
      </c>
      <c r="B359" t="n">
        <v>0.245</v>
      </c>
      <c r="C359" t="n">
        <v>0.28</v>
      </c>
    </row>
    <row r="360">
      <c r="A360" t="inlineStr">
        <is>
          <t>62645.0</t>
        </is>
      </c>
      <c r="B360" t="n">
        <v>0.245</v>
      </c>
      <c r="C360" t="n">
        <v>0.28</v>
      </c>
    </row>
    <row r="361">
      <c r="A361" t="inlineStr">
        <is>
          <t>626096.0</t>
        </is>
      </c>
      <c r="B361" t="n">
        <v>0.245</v>
      </c>
      <c r="C361" t="n">
        <v>0.28</v>
      </c>
    </row>
    <row r="362">
      <c r="A362" t="inlineStr">
        <is>
          <t>626095.0</t>
        </is>
      </c>
      <c r="B362" t="n">
        <v>0.245</v>
      </c>
      <c r="C362" t="n">
        <v>0.28</v>
      </c>
    </row>
    <row r="363">
      <c r="A363" t="inlineStr">
        <is>
          <t>62606.0</t>
        </is>
      </c>
      <c r="B363" t="n">
        <v>0.245</v>
      </c>
      <c r="C363" t="n">
        <v>0.28</v>
      </c>
    </row>
    <row r="364">
      <c r="A364" t="inlineStr">
        <is>
          <t>62605.0</t>
        </is>
      </c>
      <c r="B364" t="n">
        <v>0.245</v>
      </c>
      <c r="C364" t="n">
        <v>0.28</v>
      </c>
    </row>
    <row r="365">
      <c r="A365" t="inlineStr">
        <is>
          <t>62060.0</t>
        </is>
      </c>
      <c r="B365" t="n">
        <v>0.245</v>
      </c>
      <c r="C365" t="n">
        <v>0.28</v>
      </c>
    </row>
    <row r="366">
      <c r="A366" t="inlineStr">
        <is>
          <t>62070.0</t>
        </is>
      </c>
      <c r="B366" t="n">
        <v>0.245</v>
      </c>
      <c r="C366" t="n">
        <v>0.28</v>
      </c>
    </row>
    <row r="367">
      <c r="A367" t="inlineStr">
        <is>
          <t>62067.0</t>
        </is>
      </c>
      <c r="B367" t="n">
        <v>0.245</v>
      </c>
      <c r="C367" t="n">
        <v>0.28</v>
      </c>
    </row>
    <row r="368">
      <c r="A368" t="inlineStr">
        <is>
          <t>62066.0</t>
        </is>
      </c>
      <c r="B368" t="n">
        <v>0.245</v>
      </c>
      <c r="C368" t="n">
        <v>0.28</v>
      </c>
    </row>
    <row r="369">
      <c r="A369" t="inlineStr">
        <is>
          <t>62052.0</t>
        </is>
      </c>
      <c r="B369" t="n">
        <v>0.245</v>
      </c>
      <c r="C369" t="n">
        <v>0.28</v>
      </c>
    </row>
    <row r="370">
      <c r="A370" t="inlineStr">
        <is>
          <t>620375.0</t>
        </is>
      </c>
      <c r="B370" t="n">
        <v>0.245</v>
      </c>
      <c r="C370" t="n">
        <v>0.28</v>
      </c>
    </row>
    <row r="371">
      <c r="A371" t="inlineStr">
        <is>
          <t>28002.0</t>
        </is>
      </c>
      <c r="B371" t="n">
        <v>0.295</v>
      </c>
      <c r="C371" t="n">
        <v>0.33</v>
      </c>
    </row>
    <row r="372">
      <c r="A372" t="inlineStr">
        <is>
          <t>26602.0</t>
        </is>
      </c>
      <c r="B372" t="n">
        <v>0.275</v>
      </c>
      <c r="C372" t="n">
        <v>0.31</v>
      </c>
    </row>
    <row r="373">
      <c r="A373" t="inlineStr">
        <is>
          <t>58235.0</t>
        </is>
      </c>
      <c r="B373" t="n">
        <v>0.195</v>
      </c>
      <c r="C373" t="n">
        <v>0.23</v>
      </c>
    </row>
    <row r="374">
      <c r="A374" t="inlineStr">
        <is>
          <t>58232.0</t>
        </is>
      </c>
      <c r="B374" t="n">
        <v>0.195</v>
      </c>
      <c r="C374" t="n">
        <v>0.23</v>
      </c>
    </row>
    <row r="375">
      <c r="A375" t="inlineStr">
        <is>
          <t>58228.0</t>
        </is>
      </c>
      <c r="B375" t="n">
        <v>0.195</v>
      </c>
      <c r="C375" t="n">
        <v>0.23</v>
      </c>
    </row>
    <row r="376">
      <c r="A376" t="inlineStr">
        <is>
          <t>58226.0</t>
        </is>
      </c>
      <c r="B376" t="n">
        <v>0.195</v>
      </c>
      <c r="C376" t="n">
        <v>0.23</v>
      </c>
    </row>
    <row r="377">
      <c r="A377" t="inlineStr">
        <is>
          <t>58222.0</t>
        </is>
      </c>
      <c r="B377" t="n">
        <v>0.195</v>
      </c>
      <c r="C377" t="n">
        <v>0.23</v>
      </c>
    </row>
    <row r="378">
      <c r="A378" t="inlineStr">
        <is>
          <t>11564.0</t>
        </is>
      </c>
      <c r="B378" t="n">
        <v>0.31</v>
      </c>
      <c r="C378" t="n">
        <v>0.345</v>
      </c>
    </row>
    <row r="379">
      <c r="A379" t="inlineStr">
        <is>
          <t>61611.0</t>
        </is>
      </c>
      <c r="B379" t="n">
        <v>0.295</v>
      </c>
      <c r="C379" t="n">
        <v>0.33</v>
      </c>
    </row>
    <row r="380">
      <c r="A380" t="inlineStr">
        <is>
          <t>61305.0</t>
        </is>
      </c>
      <c r="B380" t="n">
        <v>0.295</v>
      </c>
      <c r="C380" t="n">
        <v>0.33</v>
      </c>
    </row>
    <row r="381">
      <c r="A381" t="inlineStr">
        <is>
          <t>61304.0</t>
        </is>
      </c>
      <c r="B381" t="n">
        <v>0.295</v>
      </c>
      <c r="C381" t="n">
        <v>0.33</v>
      </c>
    </row>
    <row r="382">
      <c r="A382" t="inlineStr">
        <is>
          <t>61378.0</t>
        </is>
      </c>
      <c r="B382" t="n">
        <v>0.295</v>
      </c>
      <c r="C382" t="n">
        <v>0.33</v>
      </c>
    </row>
    <row r="383">
      <c r="A383" t="inlineStr">
        <is>
          <t>61301.0</t>
        </is>
      </c>
      <c r="B383" t="n">
        <v>0.295</v>
      </c>
      <c r="C383" t="n">
        <v>0.33</v>
      </c>
    </row>
    <row r="384">
      <c r="A384" t="inlineStr">
        <is>
          <t>61300.0</t>
        </is>
      </c>
      <c r="B384" t="n">
        <v>0.295</v>
      </c>
      <c r="C384" t="n">
        <v>0.33</v>
      </c>
    </row>
    <row r="385">
      <c r="A385" t="inlineStr">
        <is>
          <t>28007.0</t>
        </is>
      </c>
      <c r="B385" t="n">
        <v>0.295</v>
      </c>
      <c r="C385" t="n">
        <v>0.33</v>
      </c>
    </row>
    <row r="386">
      <c r="A386" t="inlineStr">
        <is>
          <t>21645.0</t>
        </is>
      </c>
      <c r="B386" t="n">
        <v>0.295</v>
      </c>
      <c r="C386" t="n">
        <v>0.33</v>
      </c>
    </row>
    <row r="387">
      <c r="A387" t="inlineStr">
        <is>
          <t>61695.0</t>
        </is>
      </c>
      <c r="B387" t="n">
        <v>0.265</v>
      </c>
      <c r="C387" t="n">
        <v>0.3</v>
      </c>
    </row>
    <row r="388">
      <c r="A388" t="inlineStr">
        <is>
          <t>61389.0</t>
        </is>
      </c>
      <c r="B388" t="n">
        <v>0.265</v>
      </c>
      <c r="C388" t="n">
        <v>0.3</v>
      </c>
    </row>
    <row r="389">
      <c r="A389" t="inlineStr">
        <is>
          <t>лопата61654</t>
        </is>
      </c>
      <c r="B389" t="n">
        <v>0.265</v>
      </c>
      <c r="C389" t="n">
        <v>0.3</v>
      </c>
    </row>
    <row r="390">
      <c r="A390" t="inlineStr">
        <is>
          <t>552915+61653</t>
        </is>
      </c>
      <c r="B390" t="n">
        <v>0.265</v>
      </c>
      <c r="C390" t="n">
        <v>0.3</v>
      </c>
    </row>
    <row r="391">
      <c r="A391" t="inlineStr">
        <is>
          <t>61726.0</t>
        </is>
      </c>
      <c r="B391" t="n">
        <v>0.265</v>
      </c>
      <c r="C391" t="n">
        <v>0.3</v>
      </c>
    </row>
    <row r="392">
      <c r="A392" t="inlineStr">
        <is>
          <t>61653.0</t>
        </is>
      </c>
      <c r="B392" t="n">
        <v>0.265</v>
      </c>
      <c r="C392" t="n">
        <v>0.3</v>
      </c>
    </row>
    <row r="393">
      <c r="A393" t="inlineStr">
        <is>
          <t>лопата61679</t>
        </is>
      </c>
      <c r="B393" t="n">
        <v>0.265</v>
      </c>
      <c r="C393" t="n">
        <v>0.3</v>
      </c>
    </row>
    <row r="394">
      <c r="A394" t="inlineStr">
        <is>
          <t>61642скреп-1</t>
        </is>
      </c>
      <c r="B394" t="n">
        <v>0.265</v>
      </c>
      <c r="C394" t="n">
        <v>0.3</v>
      </c>
    </row>
    <row r="395">
      <c r="A395" t="inlineStr">
        <is>
          <t>61618+черенок</t>
        </is>
      </c>
      <c r="B395" t="n">
        <v>0.295</v>
      </c>
      <c r="C395" t="n">
        <v>0.33</v>
      </c>
    </row>
    <row r="396">
      <c r="A396" t="inlineStr">
        <is>
          <t>61617+черенок</t>
        </is>
      </c>
      <c r="B396" t="n">
        <v>0.295</v>
      </c>
      <c r="C396" t="n">
        <v>0.33</v>
      </c>
    </row>
    <row r="397">
      <c r="A397" t="inlineStr">
        <is>
          <t>61616+черенок</t>
        </is>
      </c>
      <c r="B397" t="n">
        <v>0.295</v>
      </c>
      <c r="C397" t="n">
        <v>0.33</v>
      </c>
    </row>
    <row r="398">
      <c r="A398" t="inlineStr">
        <is>
          <t>61644.0</t>
        </is>
      </c>
      <c r="B398" t="n">
        <v>0.295</v>
      </c>
      <c r="C398" t="n">
        <v>0.33</v>
      </c>
    </row>
    <row r="399">
      <c r="A399" t="inlineStr">
        <is>
          <t>61654-1</t>
        </is>
      </c>
      <c r="B399" t="n">
        <v>0.295</v>
      </c>
      <c r="C399" t="n">
        <v>0.33</v>
      </c>
    </row>
    <row r="400">
      <c r="A400" t="inlineStr">
        <is>
          <t>61642.0</t>
        </is>
      </c>
      <c r="B400" t="n">
        <v>0.295</v>
      </c>
      <c r="C400" t="n">
        <v>0.33</v>
      </c>
    </row>
    <row r="401">
      <c r="A401" t="inlineStr">
        <is>
          <t>61607.0</t>
        </is>
      </c>
      <c r="B401" t="n">
        <v>0.295</v>
      </c>
      <c r="C401" t="n">
        <v>0.33</v>
      </c>
    </row>
    <row r="402">
      <c r="A402" t="inlineStr">
        <is>
          <t>61653-1</t>
        </is>
      </c>
      <c r="B402" t="n">
        <v>0.295</v>
      </c>
      <c r="C402" t="n">
        <v>0.33</v>
      </c>
    </row>
    <row r="403">
      <c r="A403" t="inlineStr">
        <is>
          <t>61579+черенок</t>
        </is>
      </c>
      <c r="B403" t="n">
        <v>0.295</v>
      </c>
      <c r="C403" t="n">
        <v>0.33</v>
      </c>
    </row>
    <row r="404">
      <c r="A404" t="inlineStr">
        <is>
          <t>61536+черенок</t>
        </is>
      </c>
      <c r="B404" t="n">
        <v>0.295</v>
      </c>
      <c r="C404" t="n">
        <v>0.33</v>
      </c>
    </row>
    <row r="405">
      <c r="A405" t="inlineStr">
        <is>
          <t>61690.0</t>
        </is>
      </c>
      <c r="B405" t="n">
        <v>0.295</v>
      </c>
      <c r="C405" t="n">
        <v>0.33</v>
      </c>
    </row>
    <row r="406">
      <c r="A406" t="inlineStr">
        <is>
          <t>61677.0</t>
        </is>
      </c>
      <c r="B406" t="n">
        <v>0.295</v>
      </c>
      <c r="C406" t="n">
        <v>0.33</v>
      </c>
    </row>
    <row r="407">
      <c r="A407" t="inlineStr">
        <is>
          <t>94701.0</t>
        </is>
      </c>
      <c r="B407" t="n">
        <v>0.285</v>
      </c>
      <c r="C407" t="n">
        <v>0.32</v>
      </c>
    </row>
    <row r="408">
      <c r="A408" t="inlineStr">
        <is>
          <t>27304.0</t>
        </is>
      </c>
      <c r="B408" t="n">
        <v>0.305</v>
      </c>
      <c r="C408" t="n">
        <v>0.34</v>
      </c>
    </row>
    <row r="409">
      <c r="A409" t="inlineStr">
        <is>
          <t>27301.0</t>
        </is>
      </c>
      <c r="B409" t="n">
        <v>0.305</v>
      </c>
      <c r="C409" t="n">
        <v>0.34</v>
      </c>
    </row>
    <row r="410">
      <c r="A410" t="inlineStr">
        <is>
          <t>27305.0</t>
        </is>
      </c>
      <c r="B410" t="n">
        <v>0.305</v>
      </c>
      <c r="C410" t="n">
        <v>0.34</v>
      </c>
    </row>
    <row r="411">
      <c r="A411" t="inlineStr">
        <is>
          <t>chesnokodavka2</t>
        </is>
      </c>
      <c r="B411" t="n">
        <v>0.295</v>
      </c>
      <c r="C411" t="n">
        <v>0.33</v>
      </c>
    </row>
    <row r="412">
      <c r="A412" t="inlineStr">
        <is>
          <t>17626.0</t>
        </is>
      </c>
      <c r="B412" t="n">
        <v>0.275</v>
      </c>
      <c r="C412" t="n">
        <v>0.31</v>
      </c>
    </row>
    <row r="413">
      <c r="A413" t="inlineStr">
        <is>
          <t>17612.0</t>
        </is>
      </c>
      <c r="B413" t="n">
        <v>0.315</v>
      </c>
      <c r="C413" t="n">
        <v>0.35</v>
      </c>
    </row>
    <row r="414">
      <c r="A414" t="inlineStr">
        <is>
          <t>94203АСПТ</t>
        </is>
      </c>
      <c r="B414" t="n">
        <v>0.295</v>
      </c>
      <c r="C414" t="n">
        <v>0.33</v>
      </c>
    </row>
    <row r="415">
      <c r="A415" t="inlineStr">
        <is>
          <t>94323.0</t>
        </is>
      </c>
      <c r="B415" t="n">
        <v>0.285</v>
      </c>
      <c r="C415" t="n">
        <v>0.32</v>
      </c>
    </row>
    <row r="416">
      <c r="A416" t="inlineStr">
        <is>
          <t>94324.0</t>
        </is>
      </c>
      <c r="B416" t="n">
        <v>0.285</v>
      </c>
      <c r="C416" t="n">
        <v>0.32</v>
      </c>
    </row>
    <row r="417">
      <c r="A417" t="inlineStr">
        <is>
          <t>61642скреп</t>
        </is>
      </c>
      <c r="B417" t="n">
        <v>0.295</v>
      </c>
      <c r="C417" t="n">
        <v>0.33</v>
      </c>
    </row>
    <row r="418">
      <c r="A418" t="inlineStr">
        <is>
          <t>naborturista2</t>
        </is>
      </c>
      <c r="B418" t="n">
        <v>0.275</v>
      </c>
      <c r="C418" t="n">
        <v>0.31</v>
      </c>
    </row>
    <row r="419">
      <c r="A419" t="inlineStr">
        <is>
          <t>naborturista</t>
        </is>
      </c>
      <c r="B419" t="n">
        <v>0.275</v>
      </c>
      <c r="C419" t="n">
        <v>0.31</v>
      </c>
    </row>
    <row r="420">
      <c r="A420" t="inlineStr">
        <is>
          <t>gopower20RED</t>
        </is>
      </c>
      <c r="B420" t="n">
        <v>0.275</v>
      </c>
      <c r="C420" t="n">
        <v>0.31</v>
      </c>
    </row>
    <row r="421">
      <c r="A421" t="inlineStr">
        <is>
          <t>powerbank30000</t>
        </is>
      </c>
      <c r="B421" t="n">
        <v>0.195</v>
      </c>
      <c r="C421" t="n">
        <v>0.23</v>
      </c>
    </row>
    <row r="422">
      <c r="A422" t="inlineStr">
        <is>
          <t>gopoweralkAA4</t>
        </is>
      </c>
      <c r="B422" t="n">
        <v>0.275</v>
      </c>
      <c r="C422" t="n">
        <v>0.31</v>
      </c>
    </row>
    <row r="423">
      <c r="A423" t="inlineStr">
        <is>
          <t>gopoweralkAAA4</t>
        </is>
      </c>
      <c r="B423" t="n">
        <v>0.275</v>
      </c>
      <c r="C423" t="n">
        <v>0.31</v>
      </c>
    </row>
    <row r="424">
      <c r="A424" t="inlineStr">
        <is>
          <t>kovrikstrawberry</t>
        </is>
      </c>
      <c r="B424" t="n">
        <v>0.295</v>
      </c>
      <c r="C424" t="n">
        <v>0.33</v>
      </c>
    </row>
    <row r="425">
      <c r="A425" t="inlineStr">
        <is>
          <t>kovriklandishi</t>
        </is>
      </c>
      <c r="B425" t="n">
        <v>0.295</v>
      </c>
      <c r="C425" t="n">
        <v>0.33</v>
      </c>
    </row>
    <row r="426">
      <c r="A426" t="inlineStr">
        <is>
          <t>kovrikfruit</t>
        </is>
      </c>
      <c r="B426" t="n">
        <v>0.295</v>
      </c>
      <c r="C426" t="n">
        <v>0.33</v>
      </c>
    </row>
    <row r="427">
      <c r="A427" t="inlineStr">
        <is>
          <t>kovrikkit</t>
        </is>
      </c>
      <c r="B427" t="n">
        <v>0.295</v>
      </c>
      <c r="C427" t="n">
        <v>0.33</v>
      </c>
    </row>
    <row r="428">
      <c r="A428" t="inlineStr">
        <is>
          <t>chesnokodavka</t>
        </is>
      </c>
      <c r="B428" t="n">
        <v>0.295</v>
      </c>
      <c r="C428" t="n">
        <v>0.33</v>
      </c>
    </row>
    <row r="429">
      <c r="A429" t="inlineStr">
        <is>
          <t>kistochka</t>
        </is>
      </c>
      <c r="B429" t="n">
        <v>0.245</v>
      </c>
      <c r="C429" t="n">
        <v>0.28</v>
      </c>
    </row>
    <row r="430">
      <c r="A430" t="inlineStr">
        <is>
          <t>hinkal2</t>
        </is>
      </c>
      <c r="B430" t="n">
        <v>0.295</v>
      </c>
      <c r="C430" t="n">
        <v>0.33</v>
      </c>
    </row>
    <row r="431">
      <c r="A431" t="inlineStr">
        <is>
          <t>durshlagbig</t>
        </is>
      </c>
      <c r="B431" t="n">
        <v>0.295</v>
      </c>
      <c r="C431" t="n">
        <v>0.33</v>
      </c>
    </row>
    <row r="432">
      <c r="A432" t="inlineStr">
        <is>
          <t>durshlagbig3</t>
        </is>
      </c>
      <c r="B432" t="n">
        <v>0.295</v>
      </c>
      <c r="C432" t="n">
        <v>0.33</v>
      </c>
    </row>
    <row r="433">
      <c r="A433" t="inlineStr">
        <is>
          <t>durrshlagblue</t>
        </is>
      </c>
      <c r="B433" t="n">
        <v>0.295</v>
      </c>
      <c r="C433" t="n">
        <v>0.33</v>
      </c>
    </row>
    <row r="434">
      <c r="A434" t="inlineStr">
        <is>
          <t>durshlaggreen</t>
        </is>
      </c>
      <c r="B434" t="n">
        <v>0.295</v>
      </c>
      <c r="C434" t="n">
        <v>0.33</v>
      </c>
    </row>
    <row r="435">
      <c r="A435" t="inlineStr">
        <is>
          <t>durshlagred</t>
        </is>
      </c>
      <c r="B435" t="n">
        <v>0.295</v>
      </c>
      <c r="C435" t="n">
        <v>0.33</v>
      </c>
    </row>
    <row r="436">
      <c r="A436" t="inlineStr">
        <is>
          <t>durshlagbig2</t>
        </is>
      </c>
      <c r="B436" t="n">
        <v>0.295</v>
      </c>
      <c r="C436" t="n">
        <v>0.33</v>
      </c>
    </row>
    <row r="437">
      <c r="A437" t="inlineStr">
        <is>
          <t>hinkalekb</t>
        </is>
      </c>
      <c r="B437" t="n">
        <v>0.295</v>
      </c>
      <c r="C437" t="n">
        <v>0.33</v>
      </c>
    </row>
    <row r="438">
      <c r="A438" t="inlineStr">
        <is>
          <t>hinkal</t>
        </is>
      </c>
      <c r="B438" t="n">
        <v>0.295</v>
      </c>
      <c r="C438" t="n">
        <v>0.33</v>
      </c>
    </row>
    <row r="439">
      <c r="A439" t="inlineStr">
        <is>
          <t>salfetki</t>
        </is>
      </c>
      <c r="B439" t="n">
        <v>0.295</v>
      </c>
      <c r="C439" t="n">
        <v>0.33</v>
      </c>
    </row>
    <row r="440">
      <c r="A440" t="inlineStr">
        <is>
          <t>ershik</t>
        </is>
      </c>
      <c r="B440" t="n">
        <v>0.245</v>
      </c>
      <c r="C440" t="n">
        <v>0.28</v>
      </c>
    </row>
    <row r="441">
      <c r="A441" t="inlineStr">
        <is>
          <t>89715маска</t>
        </is>
      </c>
      <c r="B441" t="n">
        <v>0.285</v>
      </c>
      <c r="C441" t="n">
        <v>0.32</v>
      </c>
    </row>
    <row r="442">
      <c r="A442" t="inlineStr">
        <is>
          <t>huter105gs</t>
        </is>
      </c>
      <c r="B442" t="n">
        <v>0.195</v>
      </c>
      <c r="C442" t="n">
        <v>0.23</v>
      </c>
    </row>
    <row r="443">
      <c r="A443" t="inlineStr">
        <is>
          <t>drovokol</t>
        </is>
      </c>
      <c r="B443" t="n">
        <v>0.285</v>
      </c>
      <c r="C443" t="n">
        <v>0.32</v>
      </c>
    </row>
    <row r="444">
      <c r="A444" t="inlineStr">
        <is>
          <t>drovokol5500huter</t>
        </is>
      </c>
      <c r="B444" t="n">
        <v>0.285</v>
      </c>
      <c r="C444" t="n">
        <v>0.32</v>
      </c>
    </row>
    <row r="445">
      <c r="A445" t="inlineStr">
        <is>
          <t>drovokol5500</t>
        </is>
      </c>
      <c r="B445" t="n">
        <v>0.285</v>
      </c>
      <c r="C445" t="n">
        <v>0.32</v>
      </c>
    </row>
    <row r="446">
      <c r="A446" t="inlineStr">
        <is>
          <t>снегоуборщик3</t>
        </is>
      </c>
      <c r="B446" t="n">
        <v>0.195</v>
      </c>
      <c r="C446" t="n">
        <v>0.23</v>
      </c>
    </row>
    <row r="447">
      <c r="A447" t="inlineStr">
        <is>
          <t>huter5500H</t>
        </is>
      </c>
      <c r="B447" t="n">
        <v>0.285</v>
      </c>
      <c r="C447" t="n">
        <v>0.32</v>
      </c>
    </row>
    <row r="448">
      <c r="A448" t="inlineStr">
        <is>
          <t>снегоуборщик</t>
        </is>
      </c>
      <c r="B448" t="n">
        <v>0.195</v>
      </c>
      <c r="C448" t="n">
        <v>0.23</v>
      </c>
    </row>
    <row r="449">
      <c r="A449" t="inlineStr">
        <is>
          <t>снегоуборщик2</t>
        </is>
      </c>
      <c r="B449" t="n">
        <v>0.195</v>
      </c>
      <c r="C449" t="n">
        <v>0.23</v>
      </c>
    </row>
    <row r="450">
      <c r="A450" t="inlineStr">
        <is>
          <t>pilka</t>
        </is>
      </c>
      <c r="B450" t="n">
        <v>0.325</v>
      </c>
      <c r="C450" t="n">
        <v>0.36</v>
      </c>
    </row>
    <row r="451">
      <c r="A451" t="inlineStr">
        <is>
          <t>555205sparta</t>
        </is>
      </c>
      <c r="B451" t="n">
        <v>0.265</v>
      </c>
      <c r="C451" t="n">
        <v>0.3</v>
      </c>
    </row>
    <row r="452">
      <c r="A452" t="inlineStr">
        <is>
          <t>552915+61653-1</t>
        </is>
      </c>
      <c r="B452" t="n">
        <v>0.265</v>
      </c>
      <c r="C452" t="n">
        <v>0.3</v>
      </c>
    </row>
    <row r="453">
      <c r="A453" t="inlineStr">
        <is>
          <t>552915+61653-1-1</t>
        </is>
      </c>
      <c r="B453" t="n">
        <v>0.265</v>
      </c>
      <c r="C453" t="n">
        <v>0.3</v>
      </c>
    </row>
    <row r="454">
      <c r="A454" t="inlineStr">
        <is>
          <t>pusk</t>
        </is>
      </c>
      <c r="B454" t="n">
        <v>0.265</v>
      </c>
      <c r="C454" t="n">
        <v>0.3</v>
      </c>
    </row>
    <row r="455">
      <c r="A455" t="inlineStr">
        <is>
          <t>oasis30</t>
        </is>
      </c>
      <c r="B455" t="n">
        <v>0.31</v>
      </c>
      <c r="C455" t="n">
        <v>0.345</v>
      </c>
    </row>
    <row r="456">
      <c r="A456" t="inlineStr">
        <is>
          <t>гена тест</t>
        </is>
      </c>
      <c r="B456" t="n">
        <v>0.285</v>
      </c>
      <c r="C456" t="n">
        <v>0.32</v>
      </c>
    </row>
    <row r="457">
      <c r="A457" t="inlineStr">
        <is>
          <t>teplopushka</t>
        </is>
      </c>
      <c r="B457" t="n">
        <v>0.285</v>
      </c>
      <c r="C457" t="n">
        <v>0.32</v>
      </c>
    </row>
    <row r="458">
      <c r="A458" t="inlineStr">
        <is>
          <t>gen1500</t>
        </is>
      </c>
      <c r="B458" t="n">
        <v>0.285</v>
      </c>
      <c r="C458" t="n">
        <v>0.32</v>
      </c>
    </row>
    <row r="459">
      <c r="A459" t="inlineStr">
        <is>
          <t>шурик3</t>
        </is>
      </c>
      <c r="B459" t="n">
        <v>0.315</v>
      </c>
      <c r="C459" t="n">
        <v>0.35</v>
      </c>
    </row>
    <row r="460">
      <c r="A460" t="inlineStr">
        <is>
          <t>шурик26182</t>
        </is>
      </c>
      <c r="B460" t="n">
        <v>0.315</v>
      </c>
      <c r="C460" t="n">
        <v>0.35</v>
      </c>
    </row>
    <row r="461">
      <c r="A461" t="inlineStr">
        <is>
          <t>шурик4</t>
        </is>
      </c>
      <c r="B461" t="n">
        <v>0.315</v>
      </c>
      <c r="C461" t="n">
        <v>0.35</v>
      </c>
    </row>
    <row r="462">
      <c r="A462" t="inlineStr">
        <is>
          <t>шурик2</t>
        </is>
      </c>
      <c r="B462" t="n">
        <v>0.315</v>
      </c>
      <c r="C462" t="n">
        <v>0.35</v>
      </c>
    </row>
    <row r="463">
      <c r="A463" t="inlineStr">
        <is>
          <t>522155лебедка</t>
        </is>
      </c>
      <c r="B463" t="n">
        <v>0.285</v>
      </c>
      <c r="C463" t="n">
        <v>0.32</v>
      </c>
    </row>
    <row r="464">
      <c r="A464" t="inlineStr">
        <is>
          <t>genafree</t>
        </is>
      </c>
      <c r="B464" t="n">
        <v>0.285</v>
      </c>
      <c r="C464" t="n">
        <v>0.32</v>
      </c>
    </row>
    <row r="465">
      <c r="A465" t="inlineStr">
        <is>
          <t>gena2800</t>
        </is>
      </c>
      <c r="B465" t="n">
        <v>0.285</v>
      </c>
      <c r="C465" t="n">
        <v>0.32</v>
      </c>
    </row>
    <row r="466">
      <c r="A466" t="inlineStr">
        <is>
          <t>wb2qenqgad</t>
        </is>
      </c>
      <c r="B466" t="n">
        <v>0.285</v>
      </c>
      <c r="C466" t="n">
        <v>0.32</v>
      </c>
    </row>
    <row r="467">
      <c r="A467" t="inlineStr">
        <is>
          <t>pilesos20l</t>
        </is>
      </c>
      <c r="B467" t="n">
        <v>0.31</v>
      </c>
      <c r="C467" t="n">
        <v>0.345</v>
      </c>
    </row>
    <row r="468">
      <c r="A468" t="inlineStr">
        <is>
          <t>bestway366x76</t>
        </is>
      </c>
      <c r="B468" t="n">
        <v>0.285</v>
      </c>
      <c r="C468" t="n">
        <v>0.32</v>
      </c>
    </row>
    <row r="469">
      <c r="A469" t="inlineStr">
        <is>
          <t>basik366x76</t>
        </is>
      </c>
      <c r="B469" t="n">
        <v>0.285</v>
      </c>
      <c r="C469" t="n">
        <v>0.32</v>
      </c>
    </row>
    <row r="470">
      <c r="A470" t="inlineStr">
        <is>
          <t>saharbig2</t>
        </is>
      </c>
      <c r="B470" t="n">
        <v>0.245</v>
      </c>
      <c r="C470" t="n">
        <v>0.28</v>
      </c>
    </row>
    <row r="471">
      <c r="A471" t="inlineStr">
        <is>
          <t>waffle</t>
        </is>
      </c>
      <c r="B471" t="n">
        <v>0.245</v>
      </c>
      <c r="C471" t="n">
        <v>0.28</v>
      </c>
    </row>
    <row r="472">
      <c r="A472" t="inlineStr">
        <is>
          <t>cappucinox20</t>
        </is>
      </c>
      <c r="B472" t="n">
        <v>0.245</v>
      </c>
      <c r="C472" t="n">
        <v>0.28</v>
      </c>
    </row>
    <row r="473">
      <c r="A473" t="inlineStr">
        <is>
          <t>cappucinopink</t>
        </is>
      </c>
      <c r="B473" t="n">
        <v>0.245</v>
      </c>
      <c r="C473" t="n">
        <v>0.28</v>
      </c>
    </row>
    <row r="474">
      <c r="A474" t="inlineStr">
        <is>
          <t>capuccinobrown</t>
        </is>
      </c>
      <c r="B474" t="n">
        <v>0.245</v>
      </c>
      <c r="C474" t="n">
        <v>0.28</v>
      </c>
    </row>
    <row r="475">
      <c r="A475" t="inlineStr">
        <is>
          <t>capuccinogreen</t>
        </is>
      </c>
      <c r="B475" t="n">
        <v>0.245</v>
      </c>
      <c r="C475" t="n">
        <v>0.28</v>
      </c>
    </row>
    <row r="476">
      <c r="A476" t="inlineStr">
        <is>
          <t>microwave</t>
        </is>
      </c>
      <c r="B476" t="n">
        <v>0.235</v>
      </c>
      <c r="C476" t="n">
        <v>0.27</v>
      </c>
    </row>
    <row r="477">
      <c r="A477" t="inlineStr">
        <is>
          <t>chocolatephontain</t>
        </is>
      </c>
      <c r="B477" t="n">
        <v>0.245</v>
      </c>
      <c r="C477" t="n">
        <v>0.28</v>
      </c>
    </row>
    <row r="478">
      <c r="A478" t="inlineStr">
        <is>
          <t>аэрогриль</t>
        </is>
      </c>
      <c r="B478" t="n">
        <v>0.245</v>
      </c>
      <c r="C478" t="n">
        <v>0.28</v>
      </c>
    </row>
    <row r="479">
      <c r="A479" t="inlineStr">
        <is>
          <t>minimixer</t>
        </is>
      </c>
      <c r="B479" t="n">
        <v>0.22</v>
      </c>
      <c r="C479" t="n">
        <v>0.255</v>
      </c>
    </row>
    <row r="480">
      <c r="A480" t="inlineStr">
        <is>
          <t>oasismp</t>
        </is>
      </c>
      <c r="B480" t="n">
        <v>0.235</v>
      </c>
      <c r="C480" t="n">
        <v>0.27</v>
      </c>
    </row>
    <row r="481">
      <c r="A481" t="inlineStr">
        <is>
          <t>mp70mb</t>
        </is>
      </c>
      <c r="B481" t="n">
        <v>0.235</v>
      </c>
      <c r="C481" t="n">
        <v>0.27</v>
      </c>
    </row>
    <row r="482">
      <c r="A482" t="inlineStr">
        <is>
          <t>saharbluekor</t>
        </is>
      </c>
      <c r="B482" t="n">
        <v>0.245</v>
      </c>
      <c r="C482" t="n">
        <v>0.28</v>
      </c>
    </row>
    <row r="483">
      <c r="A483" t="inlineStr">
        <is>
          <t>saharbig1</t>
        </is>
      </c>
      <c r="B483" t="n">
        <v>0.245</v>
      </c>
      <c r="C483" t="n">
        <v>0.28</v>
      </c>
    </row>
    <row r="484">
      <c r="A484" t="inlineStr">
        <is>
          <t>sahardubl</t>
        </is>
      </c>
      <c r="B484" t="n">
        <v>0.245</v>
      </c>
      <c r="C484" t="n">
        <v>0.28</v>
      </c>
    </row>
    <row r="485">
      <c r="A485" t="inlineStr">
        <is>
          <t>sahar2</t>
        </is>
      </c>
      <c r="B485" t="n">
        <v>0.245</v>
      </c>
      <c r="C485" t="n">
        <v>0.28</v>
      </c>
    </row>
    <row r="486">
      <c r="A486" t="inlineStr">
        <is>
          <t>capuchino20</t>
        </is>
      </c>
      <c r="B486" t="n">
        <v>0.245</v>
      </c>
      <c r="C486" t="n">
        <v>0.28</v>
      </c>
    </row>
    <row r="487">
      <c r="A487" t="inlineStr">
        <is>
          <t>пистолет3</t>
        </is>
      </c>
      <c r="B487" t="n">
        <v>0.315</v>
      </c>
      <c r="C487" t="n">
        <v>0.35</v>
      </c>
    </row>
    <row r="488">
      <c r="A488" t="inlineStr">
        <is>
          <t>пистолет2</t>
        </is>
      </c>
      <c r="B488" t="n">
        <v>0.315</v>
      </c>
      <c r="C488" t="n">
        <v>0.35</v>
      </c>
    </row>
    <row r="489">
      <c r="A489" t="inlineStr">
        <is>
          <t>Рулетка31017</t>
        </is>
      </c>
      <c r="B489" t="n">
        <v>0.31</v>
      </c>
      <c r="C489" t="n">
        <v>0.345</v>
      </c>
    </row>
    <row r="490">
      <c r="A490" t="inlineStr">
        <is>
          <t>пистолет</t>
        </is>
      </c>
      <c r="B490" t="n">
        <v>0.315</v>
      </c>
      <c r="C490" t="n">
        <v>0.35</v>
      </c>
    </row>
    <row r="491">
      <c r="A491" t="inlineStr">
        <is>
          <t>Рулетка31018</t>
        </is>
      </c>
      <c r="B491" t="n">
        <v>0.31</v>
      </c>
      <c r="C491" t="n">
        <v>0.345</v>
      </c>
    </row>
    <row r="492">
      <c r="A492" t="inlineStr">
        <is>
          <t>Рулетка31016</t>
        </is>
      </c>
      <c r="B492" t="n">
        <v>0.31</v>
      </c>
      <c r="C492" t="n">
        <v>0.345</v>
      </c>
    </row>
    <row r="493">
      <c r="A493" t="inlineStr">
        <is>
          <t>Рулетка31314</t>
        </is>
      </c>
      <c r="B493" t="n">
        <v>0.31</v>
      </c>
      <c r="C493" t="n">
        <v>0.345</v>
      </c>
    </row>
    <row r="494">
      <c r="A494" t="inlineStr">
        <is>
          <t>Рулетка31313</t>
        </is>
      </c>
      <c r="B494" t="n">
        <v>0.31</v>
      </c>
      <c r="C494" t="n">
        <v>0.345</v>
      </c>
    </row>
    <row r="495">
      <c r="A495" t="inlineStr">
        <is>
          <t>Рулетка31312</t>
        </is>
      </c>
      <c r="B495" t="n">
        <v>0.31</v>
      </c>
      <c r="C495" t="n">
        <v>0.345</v>
      </c>
    </row>
    <row r="496">
      <c r="A496" t="inlineStr">
        <is>
          <t>Рулетка31311</t>
        </is>
      </c>
      <c r="B496" t="n">
        <v>0.31</v>
      </c>
      <c r="C496" t="n">
        <v>0.345</v>
      </c>
    </row>
    <row r="497">
      <c r="A497" t="inlineStr">
        <is>
          <t>Отвертки135425</t>
        </is>
      </c>
      <c r="B497" t="n">
        <v>0.315</v>
      </c>
      <c r="C497" t="n">
        <v>0.35</v>
      </c>
    </row>
    <row r="498">
      <c r="A498" t="inlineStr">
        <is>
          <t>10630молоток</t>
        </is>
      </c>
      <c r="B498" t="n">
        <v>0.315</v>
      </c>
      <c r="C498" t="n">
        <v>0.35</v>
      </c>
    </row>
    <row r="499">
      <c r="A499" t="inlineStr">
        <is>
          <t>10323молоток</t>
        </is>
      </c>
      <c r="B499" t="n">
        <v>0.315</v>
      </c>
      <c r="C499" t="n">
        <v>0.35</v>
      </c>
    </row>
    <row r="500">
      <c r="A500" t="inlineStr">
        <is>
          <t>10626молоток</t>
        </is>
      </c>
      <c r="B500" t="n">
        <v>0.315</v>
      </c>
      <c r="C500" t="n">
        <v>0.35</v>
      </c>
    </row>
    <row r="501">
      <c r="A501" t="inlineStr">
        <is>
          <t>Рулетка31302</t>
        </is>
      </c>
      <c r="B501" t="n">
        <v>0.31</v>
      </c>
      <c r="C501" t="n">
        <v>0.345</v>
      </c>
    </row>
    <row r="502">
      <c r="A502" t="inlineStr">
        <is>
          <t>Угольник323425</t>
        </is>
      </c>
      <c r="B502" t="n">
        <v>0.315</v>
      </c>
      <c r="C502" t="n">
        <v>0.35</v>
      </c>
    </row>
    <row r="503">
      <c r="A503" t="inlineStr">
        <is>
          <t>ventikdubl2</t>
        </is>
      </c>
      <c r="B503" t="n">
        <v>0.255</v>
      </c>
      <c r="C503" t="n">
        <v>0.29</v>
      </c>
    </row>
    <row r="504">
      <c r="A504" t="inlineStr">
        <is>
          <t>ventikdubl</t>
        </is>
      </c>
      <c r="B504" t="n">
        <v>0.255</v>
      </c>
      <c r="C504" t="n">
        <v>0.29</v>
      </c>
    </row>
    <row r="505">
      <c r="A505" t="inlineStr">
        <is>
          <t>kpo20oas</t>
        </is>
      </c>
      <c r="B505" t="n">
        <v>0.255</v>
      </c>
      <c r="C505" t="n">
        <v>0.29</v>
      </c>
    </row>
    <row r="506">
      <c r="A506" t="inlineStr">
        <is>
          <t>обогреватель 2000</t>
        </is>
      </c>
      <c r="B506" t="n">
        <v>0.255</v>
      </c>
      <c r="C506" t="n">
        <v>0.29</v>
      </c>
    </row>
    <row r="507">
      <c r="A507" t="inlineStr">
        <is>
          <t>kpo15</t>
        </is>
      </c>
      <c r="B507" t="n">
        <v>0.255</v>
      </c>
      <c r="C507" t="n">
        <v>0.29</v>
      </c>
    </row>
    <row r="508">
      <c r="A508" t="inlineStr">
        <is>
          <t>kpo2000</t>
        </is>
      </c>
      <c r="B508" t="n">
        <v>0.255</v>
      </c>
      <c r="C508" t="n">
        <v>0.29</v>
      </c>
    </row>
    <row r="509">
      <c r="A509" t="inlineStr">
        <is>
          <t>DTFC второй</t>
        </is>
      </c>
      <c r="B509" t="n">
        <v>0.255</v>
      </c>
      <c r="C509" t="n">
        <v>0.29</v>
      </c>
    </row>
    <row r="510">
      <c r="A510" t="inlineStr">
        <is>
          <t>denzelteplo</t>
        </is>
      </c>
      <c r="B510" t="n">
        <v>0.255</v>
      </c>
      <c r="C510" t="n">
        <v>0.29</v>
      </c>
    </row>
    <row r="511">
      <c r="A511" t="inlineStr">
        <is>
          <t>kpo20</t>
        </is>
      </c>
      <c r="B511" t="n">
        <v>0.255</v>
      </c>
      <c r="C511" t="n">
        <v>0.29</v>
      </c>
    </row>
    <row r="512">
      <c r="A512" t="inlineStr">
        <is>
          <t>sp20rwater</t>
        </is>
      </c>
      <c r="B512" t="n">
        <v>0.255</v>
      </c>
      <c r="C512" t="n">
        <v>0.29</v>
      </c>
    </row>
    <row r="513">
      <c r="A513" t="inlineStr">
        <is>
          <t>recanta2000</t>
        </is>
      </c>
      <c r="B513" t="n">
        <v>0.255</v>
      </c>
      <c r="C513" t="n">
        <v>0.29</v>
      </c>
    </row>
    <row r="514">
      <c r="A514" t="inlineStr">
        <is>
          <t>ventik</t>
        </is>
      </c>
      <c r="B514" t="n">
        <v>0.255</v>
      </c>
      <c r="C514" t="n">
        <v>0.29</v>
      </c>
    </row>
    <row r="515">
      <c r="A515" t="inlineStr">
        <is>
          <t>recanta9h</t>
        </is>
      </c>
      <c r="B515" t="n">
        <v>0.255</v>
      </c>
      <c r="C515" t="n">
        <v>0.29</v>
      </c>
    </row>
    <row r="516">
      <c r="A516" t="inlineStr">
        <is>
          <t>ventik3</t>
        </is>
      </c>
      <c r="B516" t="n">
        <v>0.255</v>
      </c>
      <c r="C516" t="n">
        <v>0.29</v>
      </c>
    </row>
    <row r="517">
      <c r="A517" t="inlineStr">
        <is>
          <t>ventik2</t>
        </is>
      </c>
      <c r="B517" t="n">
        <v>0.255</v>
      </c>
      <c r="C517" t="n">
        <v>0.29</v>
      </c>
    </row>
    <row r="518">
      <c r="A518" t="inlineStr">
        <is>
          <t>sp20rteplo</t>
        </is>
      </c>
      <c r="B518" t="n">
        <v>0.255</v>
      </c>
      <c r="C518" t="n">
        <v>0.29</v>
      </c>
    </row>
    <row r="519">
      <c r="A519" t="inlineStr">
        <is>
          <t>kpo20teplo</t>
        </is>
      </c>
      <c r="B519" t="n">
        <v>0.255</v>
      </c>
      <c r="C519" t="n">
        <v>0.29</v>
      </c>
    </row>
    <row r="520">
      <c r="A520" t="inlineStr">
        <is>
          <t>recantateplo</t>
        </is>
      </c>
      <c r="B520" t="n">
        <v>0.255</v>
      </c>
      <c r="C520" t="n">
        <v>0.29</v>
      </c>
    </row>
    <row r="521">
      <c r="A521" t="inlineStr">
        <is>
          <t>zer20</t>
        </is>
      </c>
      <c r="B521" t="n">
        <v>0.255</v>
      </c>
      <c r="C521" t="n">
        <v>0.29</v>
      </c>
    </row>
    <row r="522">
      <c r="A522" t="inlineStr">
        <is>
          <t>61667лопата</t>
        </is>
      </c>
      <c r="B522" t="n">
        <v>0.295</v>
      </c>
      <c r="C522" t="n">
        <v>0.33</v>
      </c>
    </row>
    <row r="523">
      <c r="A523" t="inlineStr">
        <is>
          <t>61797скрепер</t>
        </is>
      </c>
      <c r="B523" t="n">
        <v>0.295</v>
      </c>
      <c r="C523" t="n">
        <v>0.33</v>
      </c>
    </row>
    <row r="524">
      <c r="A524" t="inlineStr">
        <is>
          <t>723004.0</t>
        </is>
      </c>
      <c r="B524" t="n">
        <v>0.315</v>
      </c>
      <c r="C524" t="n">
        <v>0.35</v>
      </c>
    </row>
    <row r="525">
      <c r="A525" t="inlineStr">
        <is>
          <t>614875.0</t>
        </is>
      </c>
      <c r="B525" t="n">
        <v>0.295</v>
      </c>
      <c r="C525" t="n">
        <v>0.33</v>
      </c>
    </row>
    <row r="526">
      <c r="A526" t="inlineStr">
        <is>
          <t>614635.0</t>
        </is>
      </c>
      <c r="B526" t="n">
        <v>0.295</v>
      </c>
      <c r="C526" t="n">
        <v>0.33</v>
      </c>
    </row>
    <row r="527">
      <c r="A527" t="inlineStr">
        <is>
          <t>95238.0</t>
        </is>
      </c>
      <c r="B527" t="n">
        <v>0.195</v>
      </c>
      <c r="C527" t="n">
        <v>0.23</v>
      </c>
    </row>
    <row r="528">
      <c r="A528" t="inlineStr">
        <is>
          <t>95237.0</t>
        </is>
      </c>
      <c r="B528" t="n">
        <v>0.195</v>
      </c>
      <c r="C528" t="n">
        <v>0.23</v>
      </c>
    </row>
    <row r="529">
      <c r="A529" t="inlineStr">
        <is>
          <t>95236.0</t>
        </is>
      </c>
      <c r="B529" t="n">
        <v>0.195</v>
      </c>
      <c r="C529" t="n">
        <v>0.23</v>
      </c>
    </row>
    <row r="530">
      <c r="A530" t="inlineStr">
        <is>
          <t>95233.0</t>
        </is>
      </c>
      <c r="B530" t="n">
        <v>0.195</v>
      </c>
      <c r="C530" t="n">
        <v>0.23</v>
      </c>
    </row>
    <row r="531">
      <c r="A531" t="inlineStr">
        <is>
          <t>95230.0</t>
        </is>
      </c>
      <c r="B531" t="n">
        <v>0.195</v>
      </c>
      <c r="C531" t="n">
        <v>0.23</v>
      </c>
    </row>
    <row r="532">
      <c r="A532" t="inlineStr">
        <is>
          <t>95212.0</t>
        </is>
      </c>
      <c r="B532" t="n">
        <v>0.195</v>
      </c>
      <c r="C532" t="n">
        <v>0.23</v>
      </c>
    </row>
    <row r="533">
      <c r="A533" t="inlineStr">
        <is>
          <t>95211.0</t>
        </is>
      </c>
      <c r="B533" t="n">
        <v>0.195</v>
      </c>
      <c r="C533" t="n">
        <v>0.23</v>
      </c>
    </row>
    <row r="534">
      <c r="A534" t="inlineStr">
        <is>
          <t>94321.0</t>
        </is>
      </c>
      <c r="B534" t="n">
        <v>0.285</v>
      </c>
      <c r="C534" t="n">
        <v>0.32</v>
      </c>
    </row>
    <row r="535">
      <c r="A535" t="inlineStr">
        <is>
          <t>61687.0</t>
        </is>
      </c>
      <c r="B535" t="n">
        <v>0.295</v>
      </c>
      <c r="C535" t="n">
        <v>0.33</v>
      </c>
    </row>
    <row r="536">
      <c r="A536" t="inlineStr">
        <is>
          <t>61656.0</t>
        </is>
      </c>
      <c r="B536" t="n">
        <v>0.295</v>
      </c>
      <c r="C536" t="n">
        <v>0.33</v>
      </c>
    </row>
    <row r="537">
      <c r="A537" t="inlineStr">
        <is>
          <t>61618.0</t>
        </is>
      </c>
      <c r="B537" t="n">
        <v>0.295</v>
      </c>
      <c r="C537" t="n">
        <v>0.33</v>
      </c>
    </row>
    <row r="538">
      <c r="A538" t="inlineStr">
        <is>
          <t>61617.0</t>
        </is>
      </c>
      <c r="B538" t="n">
        <v>0.295</v>
      </c>
      <c r="C538" t="n">
        <v>0.33</v>
      </c>
    </row>
    <row r="539">
      <c r="A539" t="inlineStr">
        <is>
          <t>61585.0</t>
        </is>
      </c>
      <c r="B539" t="n">
        <v>0.265</v>
      </c>
      <c r="C539" t="n">
        <v>0.3</v>
      </c>
    </row>
    <row r="540">
      <c r="A540" t="inlineStr">
        <is>
          <t>61616.0</t>
        </is>
      </c>
      <c r="B540" t="n">
        <v>0.295</v>
      </c>
      <c r="C540" t="n">
        <v>0.33</v>
      </c>
    </row>
    <row r="541">
      <c r="A541" t="inlineStr">
        <is>
          <t>61536.0</t>
        </is>
      </c>
      <c r="B541" t="n">
        <v>0.295</v>
      </c>
      <c r="C541" t="n">
        <v>0.33</v>
      </c>
    </row>
    <row r="542">
      <c r="A542" t="inlineStr">
        <is>
          <t>61531.0</t>
        </is>
      </c>
      <c r="B542" t="n">
        <v>0.295</v>
      </c>
      <c r="C542" t="n">
        <v>0.33</v>
      </c>
    </row>
    <row r="543">
      <c r="A543" t="inlineStr">
        <is>
          <t>57422.0</t>
        </is>
      </c>
      <c r="B543" t="n">
        <v>0.315</v>
      </c>
      <c r="C543" t="n">
        <v>0.35</v>
      </c>
    </row>
    <row r="544">
      <c r="A544" t="inlineStr">
        <is>
          <t>57421.0</t>
        </is>
      </c>
      <c r="B544" t="n">
        <v>0.315</v>
      </c>
      <c r="C544" t="n">
        <v>0.35</v>
      </c>
    </row>
    <row r="545">
      <c r="A545" t="inlineStr">
        <is>
          <t>26982.0</t>
        </is>
      </c>
      <c r="B545" t="n">
        <v>0.3</v>
      </c>
      <c r="C545" t="n">
        <v>0.335</v>
      </c>
    </row>
    <row r="546">
      <c r="A546" t="inlineStr">
        <is>
          <t>26382.0</t>
        </is>
      </c>
      <c r="B546" t="n">
        <v>0.305</v>
      </c>
      <c r="C546" t="n">
        <v>0.34</v>
      </c>
    </row>
    <row r="547">
      <c r="A547" t="inlineStr">
        <is>
          <t>21646.0</t>
        </is>
      </c>
      <c r="B547" t="n">
        <v>0.295</v>
      </c>
      <c r="C547" t="n">
        <v>0.33</v>
      </c>
    </row>
    <row r="548">
      <c r="A548" t="inlineStr">
        <is>
          <t>26381.0</t>
        </is>
      </c>
      <c r="B548" t="n">
        <v>0.305</v>
      </c>
      <c r="C548" t="n">
        <v>0.34</v>
      </c>
    </row>
    <row r="549">
      <c r="A549" t="inlineStr">
        <is>
          <t>21644.0</t>
        </is>
      </c>
      <c r="B549" t="n">
        <v>0.295</v>
      </c>
      <c r="C549" t="n">
        <v>0.33</v>
      </c>
    </row>
    <row r="550">
      <c r="A550" t="inlineStr">
        <is>
          <t>21610.0</t>
        </is>
      </c>
      <c r="B550" t="n">
        <v>0.295</v>
      </c>
      <c r="C550" t="n">
        <v>0.33</v>
      </c>
    </row>
    <row r="551">
      <c r="A551" t="inlineStr">
        <is>
          <t>15238.0</t>
        </is>
      </c>
      <c r="B551" t="n">
        <v>0.315</v>
      </c>
      <c r="C551" t="n">
        <v>0.35</v>
      </c>
    </row>
    <row r="552">
      <c r="A552" t="inlineStr">
        <is>
          <t>15242.0</t>
        </is>
      </c>
      <c r="B552" t="n">
        <v>0.315</v>
      </c>
      <c r="C552" t="n">
        <v>0.35</v>
      </c>
    </row>
    <row r="553">
      <c r="A553" t="inlineStr">
        <is>
          <t>15236.0</t>
        </is>
      </c>
      <c r="B553" t="n">
        <v>0.315</v>
      </c>
      <c r="C553" t="n">
        <v>0.35</v>
      </c>
    </row>
    <row r="554">
      <c r="A554" t="inlineStr">
        <is>
          <t>13594.0</t>
        </is>
      </c>
      <c r="B554" t="n">
        <v>0.305</v>
      </c>
      <c r="C554" t="n">
        <v>0.34</v>
      </c>
    </row>
    <row r="555">
      <c r="A555" t="inlineStr">
        <is>
          <t>11317.0</t>
        </is>
      </c>
      <c r="B555" t="n">
        <v>0.315</v>
      </c>
      <c r="C555" t="n">
        <v>0.35</v>
      </c>
    </row>
    <row r="556">
      <c r="A556" t="inlineStr">
        <is>
          <t>настенный</t>
        </is>
      </c>
      <c r="B556" t="n">
        <v>0.255</v>
      </c>
      <c r="C556" t="n">
        <v>0.29</v>
      </c>
    </row>
    <row r="557">
      <c r="A557" t="inlineStr">
        <is>
          <t>10441.0</t>
        </is>
      </c>
      <c r="B557" t="n">
        <v>0.315</v>
      </c>
      <c r="C557" t="n">
        <v>0.35</v>
      </c>
    </row>
    <row r="558">
      <c r="A558" t="inlineStr">
        <is>
          <t>скрепер61689</t>
        </is>
      </c>
      <c r="B558" t="n">
        <v>0.295</v>
      </c>
      <c r="C558" t="n">
        <v>0.33</v>
      </c>
    </row>
    <row r="559">
      <c r="A559" t="inlineStr">
        <is>
          <t>скрепер61800</t>
        </is>
      </c>
      <c r="B559" t="n">
        <v>0.295</v>
      </c>
      <c r="C559" t="n">
        <v>0.33</v>
      </c>
    </row>
    <row r="560">
      <c r="A560" t="inlineStr">
        <is>
          <t>kapuchinator</t>
        </is>
      </c>
      <c r="B560" t="n">
        <v>0.245</v>
      </c>
      <c r="C560" t="n">
        <v>0.28</v>
      </c>
    </row>
    <row r="561">
      <c r="A561" t="inlineStr">
        <is>
          <t>щетка 55302</t>
        </is>
      </c>
      <c r="B561" t="n">
        <v>0.265</v>
      </c>
      <c r="C561" t="n">
        <v>0.3</v>
      </c>
    </row>
    <row r="562">
      <c r="A562" t="inlineStr">
        <is>
          <t>popkorn</t>
        </is>
      </c>
      <c r="B562" t="n">
        <v>0.245</v>
      </c>
      <c r="C562" t="n">
        <v>0.28</v>
      </c>
    </row>
    <row r="563">
      <c r="A563" t="inlineStr">
        <is>
          <t>capuchin</t>
        </is>
      </c>
      <c r="B563" t="n">
        <v>0.245</v>
      </c>
      <c r="C563" t="n">
        <v>0.28</v>
      </c>
    </row>
    <row r="564">
      <c r="A564" t="inlineStr">
        <is>
          <t>ST-60W</t>
        </is>
      </c>
      <c r="B564" t="n">
        <v>0.245</v>
      </c>
      <c r="C564" t="n">
        <v>0.28</v>
      </c>
    </row>
    <row r="565">
      <c r="A565" t="inlineStr">
        <is>
          <t>ST-120B</t>
        </is>
      </c>
      <c r="B565" t="n">
        <v>0.245</v>
      </c>
      <c r="C565" t="n">
        <v>0.28</v>
      </c>
    </row>
    <row r="566">
      <c r="A566" t="inlineStr">
        <is>
          <t>GR-DR</t>
        </is>
      </c>
      <c r="B566" t="n">
        <v>0.245</v>
      </c>
      <c r="C566" t="n">
        <v>0.28</v>
      </c>
    </row>
    <row r="567">
      <c r="A567" t="inlineStr">
        <is>
          <t>MW-70RW</t>
        </is>
      </c>
      <c r="B567" t="n">
        <v>0.235</v>
      </c>
      <c r="C567" t="n">
        <v>0.27</v>
      </c>
    </row>
    <row r="568">
      <c r="A568" t="inlineStr">
        <is>
          <t>VF-40TMW</t>
        </is>
      </c>
      <c r="B568" t="n">
        <v>0.255</v>
      </c>
      <c r="C568" t="n">
        <v>0.29</v>
      </c>
    </row>
    <row r="569">
      <c r="A569" t="inlineStr">
        <is>
          <t>63219.0</t>
        </is>
      </c>
      <c r="B569" t="n">
        <v>0.295</v>
      </c>
      <c r="C569" t="n">
        <v>0.33</v>
      </c>
    </row>
    <row r="570">
      <c r="A570" t="inlineStr">
        <is>
          <t>КН-4745</t>
        </is>
      </c>
      <c r="B570" t="n">
        <v>0.275</v>
      </c>
      <c r="C570" t="n">
        <v>0.31</v>
      </c>
    </row>
    <row r="571">
      <c r="A571" t="inlineStr">
        <is>
          <t>67510.0</t>
        </is>
      </c>
      <c r="B571" t="n">
        <v>0.295</v>
      </c>
      <c r="C571" t="n">
        <v>0.33</v>
      </c>
    </row>
    <row r="572">
      <c r="A572" t="inlineStr">
        <is>
          <t>689615.0</t>
        </is>
      </c>
      <c r="B572" t="n">
        <v>0.295</v>
      </c>
      <c r="C572" t="n">
        <v>0.33</v>
      </c>
    </row>
    <row r="573">
      <c r="A573" t="inlineStr">
        <is>
          <t>61473.0</t>
        </is>
      </c>
      <c r="B573" t="n">
        <v>0.295</v>
      </c>
      <c r="C573" t="n">
        <v>0.33</v>
      </c>
    </row>
    <row r="574">
      <c r="A574" t="inlineStr">
        <is>
          <t>61574.0</t>
        </is>
      </c>
      <c r="B574" t="n">
        <v>0.265</v>
      </c>
      <c r="C574" t="n">
        <v>0.3</v>
      </c>
    </row>
    <row r="575">
      <c r="A575" t="inlineStr">
        <is>
          <t>90805.0</t>
        </is>
      </c>
      <c r="B575" t="n">
        <v>0.315</v>
      </c>
      <c r="C575" t="n">
        <v>0.35</v>
      </c>
    </row>
    <row r="576">
      <c r="A576" t="inlineStr">
        <is>
          <t>90809.0</t>
        </is>
      </c>
      <c r="B576" t="n">
        <v>0.315</v>
      </c>
      <c r="C576" t="n">
        <v>0.35</v>
      </c>
    </row>
    <row r="577">
      <c r="A577" t="inlineStr">
        <is>
          <t>63230.0</t>
        </is>
      </c>
      <c r="B577" t="n">
        <v>0.295</v>
      </c>
      <c r="C577" t="n">
        <v>0.33</v>
      </c>
    </row>
    <row r="578">
      <c r="A578" t="inlineStr">
        <is>
          <t>53112.0</t>
        </is>
      </c>
      <c r="B578" t="n">
        <v>0.215</v>
      </c>
      <c r="C578" t="n">
        <v>0.25</v>
      </c>
    </row>
    <row r="579">
      <c r="A579" t="inlineStr">
        <is>
          <t>gopower60RED</t>
        </is>
      </c>
      <c r="B579" t="n">
        <v>0.275</v>
      </c>
      <c r="C579" t="n">
        <v>0.31</v>
      </c>
    </row>
    <row r="580">
      <c r="A580" t="inlineStr">
        <is>
          <t>АСПТ94205</t>
        </is>
      </c>
      <c r="B580" t="n">
        <v>0.295</v>
      </c>
      <c r="C580" t="n">
        <v>0.33</v>
      </c>
    </row>
    <row r="581">
      <c r="A581" t="inlineStr">
        <is>
          <t>64493.0</t>
        </is>
      </c>
      <c r="B581" t="n">
        <v>0.245</v>
      </c>
      <c r="C581" t="n">
        <v>0.245</v>
      </c>
    </row>
    <row r="582">
      <c r="A582" t="inlineStr">
        <is>
          <t>61302.0</t>
        </is>
      </c>
      <c r="B582" t="n">
        <v>0.295</v>
      </c>
      <c r="C582" t="n">
        <v>0.33</v>
      </c>
    </row>
    <row r="583">
      <c r="A583" t="inlineStr">
        <is>
          <t>61579.0</t>
        </is>
      </c>
      <c r="B583" t="n">
        <v>0.295</v>
      </c>
      <c r="C583" t="n">
        <v>0.33</v>
      </c>
    </row>
    <row r="584">
      <c r="A584" t="inlineStr">
        <is>
          <t>pocket600</t>
        </is>
      </c>
      <c r="B584" t="n">
        <v>0.245</v>
      </c>
      <c r="C584" t="n">
        <v>0.28</v>
      </c>
    </row>
    <row r="585">
      <c r="A585" t="inlineStr">
        <is>
          <t>щетка55303</t>
        </is>
      </c>
      <c r="B585" t="n">
        <v>0.265</v>
      </c>
      <c r="C585" t="n">
        <v>0.3</v>
      </c>
    </row>
    <row r="586">
      <c r="A586" t="inlineStr">
        <is>
          <t>gopower60mizinec</t>
        </is>
      </c>
      <c r="B586" t="n">
        <v>0.275</v>
      </c>
      <c r="C586" t="n">
        <v>0.31</v>
      </c>
    </row>
    <row r="587">
      <c r="A587" t="inlineStr">
        <is>
          <t>53127.0</t>
        </is>
      </c>
      <c r="B587" t="n">
        <v>0.215</v>
      </c>
      <c r="C587" t="n">
        <v>0.25</v>
      </c>
    </row>
    <row r="588">
      <c r="A588" t="inlineStr">
        <is>
          <t>53111.0</t>
        </is>
      </c>
      <c r="B588" t="n">
        <v>0.215</v>
      </c>
      <c r="C588" t="n">
        <v>0.25</v>
      </c>
    </row>
    <row r="589">
      <c r="A589" t="inlineStr">
        <is>
          <t>93912.0</t>
        </is>
      </c>
      <c r="B589" t="n">
        <v>0.295</v>
      </c>
      <c r="C589" t="n">
        <v>0.295</v>
      </c>
    </row>
    <row r="590">
      <c r="A590" t="inlineStr">
        <is>
          <t>93913.0</t>
        </is>
      </c>
      <c r="B590" t="n">
        <v>0.295</v>
      </c>
      <c r="C590" t="n">
        <v>0.295</v>
      </c>
    </row>
    <row r="591">
      <c r="A591" t="inlineStr">
        <is>
          <t>94085.0</t>
        </is>
      </c>
      <c r="B591" t="n">
        <v>0.295</v>
      </c>
      <c r="C591" t="n">
        <v>0.295</v>
      </c>
    </row>
    <row r="592">
      <c r="A592" t="inlineStr">
        <is>
          <t>61303.0</t>
        </is>
      </c>
      <c r="B592" t="n">
        <v>0.295</v>
      </c>
      <c r="C592" t="n">
        <v>0.33</v>
      </c>
    </row>
    <row r="593">
      <c r="A593" t="inlineStr">
        <is>
          <t>pushka1</t>
        </is>
      </c>
      <c r="B593" t="n">
        <v>0.255</v>
      </c>
      <c r="C593" t="n">
        <v>0.29</v>
      </c>
    </row>
    <row r="594">
      <c r="A594" t="inlineStr">
        <is>
          <t>689135.0</t>
        </is>
      </c>
      <c r="B594" t="n">
        <v>0.295</v>
      </c>
      <c r="C594" t="n">
        <v>0.33</v>
      </c>
    </row>
    <row r="595">
      <c r="A595" t="inlineStr">
        <is>
          <t>90808.0</t>
        </is>
      </c>
      <c r="B595" t="n">
        <v>0.315</v>
      </c>
      <c r="C595" t="n">
        <v>0.35</v>
      </c>
    </row>
    <row r="596">
      <c r="A596" t="inlineStr">
        <is>
          <t>61696+черенок</t>
        </is>
      </c>
      <c r="B596" t="n">
        <v>0.295</v>
      </c>
      <c r="C596" t="n">
        <v>0.33</v>
      </c>
    </row>
    <row r="597">
      <c r="A597" t="inlineStr">
        <is>
          <t>537205.0</t>
        </is>
      </c>
      <c r="B597" t="n">
        <v>0.215</v>
      </c>
      <c r="C597" t="n">
        <v>0.25</v>
      </c>
    </row>
    <row r="598">
      <c r="A598" t="inlineStr">
        <is>
          <t>61390.0</t>
        </is>
      </c>
      <c r="B598" t="n">
        <v>0.295</v>
      </c>
      <c r="C598" t="n">
        <v>0.33</v>
      </c>
    </row>
    <row r="599">
      <c r="A599" t="inlineStr">
        <is>
          <t>61396.0</t>
        </is>
      </c>
      <c r="B599" t="n">
        <v>0.275</v>
      </c>
      <c r="C599" t="n">
        <v>0.31</v>
      </c>
    </row>
    <row r="600">
      <c r="A600" t="inlineStr">
        <is>
          <t>93911.0</t>
        </is>
      </c>
      <c r="B600" t="n">
        <v>0.295</v>
      </c>
      <c r="C600" t="n">
        <v>0.295</v>
      </c>
    </row>
    <row r="601">
      <c r="A601" t="inlineStr">
        <is>
          <t>щетка 552915</t>
        </is>
      </c>
      <c r="B601" t="n">
        <v>0.265</v>
      </c>
      <c r="C601" t="n">
        <v>0.3</v>
      </c>
    </row>
    <row r="602">
      <c r="A602" t="inlineStr">
        <is>
          <t>61574-1</t>
        </is>
      </c>
      <c r="B602" t="n">
        <v>0.295</v>
      </c>
      <c r="C602" t="n">
        <v>0.33</v>
      </c>
    </row>
    <row r="603">
      <c r="A603" t="inlineStr">
        <is>
          <t>53110.0</t>
        </is>
      </c>
      <c r="B603" t="n">
        <v>0.215</v>
      </c>
      <c r="C603" t="n">
        <v>0.25</v>
      </c>
    </row>
    <row r="604">
      <c r="A604" t="inlineStr">
        <is>
          <t>61566-1</t>
        </is>
      </c>
      <c r="B604" t="n">
        <v>0.265</v>
      </c>
      <c r="C604" t="n">
        <v>0.3</v>
      </c>
    </row>
    <row r="605">
      <c r="A605" t="inlineStr">
        <is>
          <t>939145.0</t>
        </is>
      </c>
      <c r="B605" t="n">
        <v>0.295</v>
      </c>
      <c r="C605" t="n">
        <v>0.295</v>
      </c>
    </row>
    <row r="606">
      <c r="A606" t="inlineStr">
        <is>
          <t>63226.0</t>
        </is>
      </c>
      <c r="B606" t="n">
        <v>0.295</v>
      </c>
      <c r="C606" t="n">
        <v>0.33</v>
      </c>
    </row>
    <row r="607">
      <c r="A607" t="inlineStr">
        <is>
          <t>лопата61566</t>
        </is>
      </c>
      <c r="B607" t="n">
        <v>0.295</v>
      </c>
      <c r="C607" t="n">
        <v>0.33</v>
      </c>
    </row>
    <row r="608">
      <c r="A608" t="inlineStr">
        <is>
          <t>63228.0</t>
        </is>
      </c>
      <c r="B608" t="n">
        <v>0.295</v>
      </c>
      <c r="C608" t="n">
        <v>0.33</v>
      </c>
    </row>
    <row r="609">
      <c r="A609" t="inlineStr">
        <is>
          <t>94665.0</t>
        </is>
      </c>
      <c r="B609" t="n">
        <v>0.285</v>
      </c>
      <c r="C609" t="n">
        <v>0.32</v>
      </c>
    </row>
    <row r="610">
      <c r="A610" t="inlineStr">
        <is>
          <t>61425.0</t>
        </is>
      </c>
      <c r="B610" t="n">
        <v>0.275</v>
      </c>
      <c r="C610" t="n">
        <v>0.31</v>
      </c>
    </row>
    <row r="611">
      <c r="A611" t="inlineStr">
        <is>
          <t>90803.0</t>
        </is>
      </c>
      <c r="B611" t="n">
        <v>0.315</v>
      </c>
      <c r="C611" t="n">
        <v>0.35</v>
      </c>
    </row>
    <row r="612">
      <c r="A612" t="inlineStr">
        <is>
          <t>gopower60</t>
        </is>
      </c>
      <c r="B612" t="n">
        <v>0.275</v>
      </c>
      <c r="C612" t="n">
        <v>0.31</v>
      </c>
    </row>
    <row r="613">
      <c r="A613" t="inlineStr">
        <is>
          <t>KH-5424</t>
        </is>
      </c>
      <c r="B613" t="n">
        <v>0.325</v>
      </c>
      <c r="C613" t="n">
        <v>0.36</v>
      </c>
    </row>
    <row r="614">
      <c r="A614" t="inlineStr">
        <is>
          <t>setkasvet</t>
        </is>
      </c>
      <c r="B614" t="n">
        <v>0.225</v>
      </c>
      <c r="C614" t="n">
        <v>0.26</v>
      </c>
    </row>
    <row r="615">
      <c r="A615" t="inlineStr">
        <is>
          <t>63227.0</t>
        </is>
      </c>
      <c r="B615" t="n">
        <v>0.295</v>
      </c>
      <c r="C615" t="n">
        <v>0.33</v>
      </c>
    </row>
    <row r="616">
      <c r="A616" t="inlineStr">
        <is>
          <t>KH-5870</t>
        </is>
      </c>
      <c r="B616" t="n">
        <v>0.275</v>
      </c>
      <c r="C616" t="n">
        <v>0.31</v>
      </c>
    </row>
    <row r="617">
      <c r="A617" t="inlineStr">
        <is>
          <t>KH-5887</t>
        </is>
      </c>
      <c r="B617" t="n">
        <v>0.275</v>
      </c>
      <c r="C617" t="n">
        <v>0.31</v>
      </c>
    </row>
    <row r="618">
      <c r="A618" t="inlineStr">
        <is>
          <t>gopowerKrona10-361</t>
        </is>
      </c>
      <c r="B618" t="n">
        <v>0.275</v>
      </c>
      <c r="C618" t="n">
        <v>0.31</v>
      </c>
    </row>
    <row r="619">
      <c r="A619" t="inlineStr">
        <is>
          <t>kh-5475</t>
        </is>
      </c>
      <c r="B619" t="n">
        <v>0.295</v>
      </c>
      <c r="C619" t="n">
        <v>0.33</v>
      </c>
    </row>
    <row r="620">
      <c r="A620" t="inlineStr">
        <is>
          <t>pelmennica</t>
        </is>
      </c>
      <c r="B620" t="n">
        <v>0.295</v>
      </c>
      <c r="C620" t="n">
        <v>0.33</v>
      </c>
    </row>
    <row r="621">
      <c r="A621" t="inlineStr">
        <is>
          <t>kh-3491</t>
        </is>
      </c>
      <c r="B621" t="n">
        <v>0.245</v>
      </c>
      <c r="C621" t="n">
        <v>0.28</v>
      </c>
    </row>
    <row r="622">
      <c r="A622" t="inlineStr">
        <is>
          <t>KH-5860</t>
        </is>
      </c>
      <c r="B622" t="n">
        <v>0.285</v>
      </c>
      <c r="C622" t="n">
        <v>0.32</v>
      </c>
    </row>
    <row r="623">
      <c r="A623" t="inlineStr">
        <is>
          <t>kh-4824</t>
        </is>
      </c>
      <c r="B623" t="n">
        <v>0.325</v>
      </c>
      <c r="C623" t="n">
        <v>0.36</v>
      </c>
    </row>
    <row r="624">
      <c r="A624" t="inlineStr">
        <is>
          <t>kh-6055</t>
        </is>
      </c>
      <c r="B624" t="n">
        <v>0.295</v>
      </c>
      <c r="C624" t="n">
        <v>0.33</v>
      </c>
    </row>
    <row r="625">
      <c r="A625" t="inlineStr">
        <is>
          <t>KH-5083</t>
        </is>
      </c>
      <c r="B625" t="n">
        <v>0.255</v>
      </c>
      <c r="C625" t="n">
        <v>0.29</v>
      </c>
    </row>
    <row r="626">
      <c r="A626" t="inlineStr">
        <is>
          <t>pocket200</t>
        </is>
      </c>
      <c r="B626" t="n">
        <v>0.245</v>
      </c>
      <c r="C626" t="n">
        <v>0.28</v>
      </c>
    </row>
    <row r="627">
      <c r="A627" t="inlineStr">
        <is>
          <t>MG-LK1</t>
        </is>
      </c>
      <c r="B627" t="n">
        <v>0.245</v>
      </c>
      <c r="C627" t="n">
        <v>0.28</v>
      </c>
    </row>
    <row r="628">
      <c r="A628" t="inlineStr">
        <is>
          <t>PI-KWSW</t>
        </is>
      </c>
      <c r="B628" t="n">
        <v>0.245</v>
      </c>
      <c r="C628" t="n">
        <v>0.28</v>
      </c>
    </row>
    <row r="629">
      <c r="A629" t="inlineStr">
        <is>
          <t>PI-SJFE</t>
        </is>
      </c>
      <c r="B629" t="n">
        <v>0.245</v>
      </c>
      <c r="C629" t="n">
        <v>0.28</v>
      </c>
    </row>
    <row r="630">
      <c r="A630" t="inlineStr">
        <is>
          <t>PI-DB3K</t>
        </is>
      </c>
      <c r="B630" t="n">
        <v>0.245</v>
      </c>
      <c r="C630" t="n">
        <v>0.28</v>
      </c>
    </row>
    <row r="631">
      <c r="A631" t="inlineStr">
        <is>
          <t>PI-PLMN</t>
        </is>
      </c>
      <c r="B631" t="n">
        <v>0.245</v>
      </c>
      <c r="C631" t="n">
        <v>0.28</v>
      </c>
    </row>
    <row r="632">
      <c r="A632" t="inlineStr">
        <is>
          <t>PI-KWSG</t>
        </is>
      </c>
      <c r="B632" t="n">
        <v>0.245</v>
      </c>
      <c r="C63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2026-06-11T19:31:03Z</dcterms:created>
  <dcterms:modified xsi:type="dcterms:W3CDTF">2026-06-11T19:31:03Z</dcterms:modified>
</cp:coreProperties>
</file>